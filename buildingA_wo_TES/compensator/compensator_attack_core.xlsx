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dres_modules\Module_3_4_MPC\compensator\"/>
    </mc:Choice>
  </mc:AlternateContent>
  <xr:revisionPtr revIDLastSave="0" documentId="13_ncr:40009_{BB962461-F06F-4609-B655-E58EA8D5256D}" xr6:coauthVersionLast="36" xr6:coauthVersionMax="36" xr10:uidLastSave="{00000000-0000-0000-0000-000000000000}"/>
  <bookViews>
    <workbookView xWindow="0" yWindow="0" windowWidth="28800" windowHeight="12225" activeTab="1"/>
  </bookViews>
  <sheets>
    <sheet name="without compensator" sheetId="1" r:id="rId1"/>
    <sheet name="with compensator" sheetId="2" r:id="rId2"/>
  </sheets>
  <calcPr calcId="0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" i="1"/>
  <c r="Y4" i="2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3" i="2"/>
  <c r="S3" i="1"/>
  <c r="T3" i="1"/>
  <c r="U3" i="1"/>
  <c r="V3" i="1"/>
  <c r="W3" i="1"/>
  <c r="S4" i="1"/>
  <c r="T4" i="1"/>
  <c r="U4" i="1"/>
  <c r="V4" i="1"/>
  <c r="W4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V13" i="1"/>
  <c r="W13" i="1"/>
  <c r="S14" i="1"/>
  <c r="T14" i="1"/>
  <c r="U14" i="1"/>
  <c r="V14" i="1"/>
  <c r="W14" i="1"/>
  <c r="S15" i="1"/>
  <c r="T15" i="1"/>
  <c r="U15" i="1"/>
  <c r="V15" i="1"/>
  <c r="W15" i="1"/>
  <c r="S16" i="1"/>
  <c r="T16" i="1"/>
  <c r="U16" i="1"/>
  <c r="V16" i="1"/>
  <c r="W16" i="1"/>
  <c r="S17" i="1"/>
  <c r="T17" i="1"/>
  <c r="U17" i="1"/>
  <c r="V17" i="1"/>
  <c r="W17" i="1"/>
  <c r="S18" i="1"/>
  <c r="T18" i="1"/>
  <c r="U18" i="1"/>
  <c r="V18" i="1"/>
  <c r="W18" i="1"/>
  <c r="S19" i="1"/>
  <c r="T19" i="1"/>
  <c r="U19" i="1"/>
  <c r="V19" i="1"/>
  <c r="W19" i="1"/>
  <c r="S20" i="1"/>
  <c r="T20" i="1"/>
  <c r="U20" i="1"/>
  <c r="V20" i="1"/>
  <c r="W20" i="1"/>
  <c r="S21" i="1"/>
  <c r="T21" i="1"/>
  <c r="U21" i="1"/>
  <c r="V21" i="1"/>
  <c r="W21" i="1"/>
  <c r="S22" i="1"/>
  <c r="T22" i="1"/>
  <c r="U22" i="1"/>
  <c r="V22" i="1"/>
  <c r="W22" i="1"/>
  <c r="S23" i="1"/>
  <c r="T23" i="1"/>
  <c r="U23" i="1"/>
  <c r="V23" i="1"/>
  <c r="W23" i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T27" i="1"/>
  <c r="U27" i="1"/>
  <c r="V27" i="1"/>
  <c r="W27" i="1"/>
  <c r="S28" i="1"/>
  <c r="T28" i="1"/>
  <c r="U28" i="1"/>
  <c r="V28" i="1"/>
  <c r="W28" i="1"/>
  <c r="S29" i="1"/>
  <c r="T29" i="1"/>
  <c r="U29" i="1"/>
  <c r="V29" i="1"/>
  <c r="W29" i="1"/>
  <c r="S30" i="1"/>
  <c r="T30" i="1"/>
  <c r="U30" i="1"/>
  <c r="V30" i="1"/>
  <c r="W30" i="1"/>
  <c r="S31" i="1"/>
  <c r="T31" i="1"/>
  <c r="U31" i="1"/>
  <c r="V31" i="1"/>
  <c r="W31" i="1"/>
  <c r="S32" i="1"/>
  <c r="T32" i="1"/>
  <c r="U32" i="1"/>
  <c r="V32" i="1"/>
  <c r="W32" i="1"/>
  <c r="S33" i="1"/>
  <c r="T33" i="1"/>
  <c r="U33" i="1"/>
  <c r="V33" i="1"/>
  <c r="W33" i="1"/>
  <c r="S34" i="1"/>
  <c r="T34" i="1"/>
  <c r="U34" i="1"/>
  <c r="V34" i="1"/>
  <c r="W34" i="1"/>
  <c r="S35" i="1"/>
  <c r="T35" i="1"/>
  <c r="U35" i="1"/>
  <c r="V35" i="1"/>
  <c r="W35" i="1"/>
  <c r="S36" i="1"/>
  <c r="T36" i="1"/>
  <c r="U36" i="1"/>
  <c r="V36" i="1"/>
  <c r="W36" i="1"/>
  <c r="S37" i="1"/>
  <c r="T37" i="1"/>
  <c r="U37" i="1"/>
  <c r="V37" i="1"/>
  <c r="W37" i="1"/>
  <c r="S38" i="1"/>
  <c r="T38" i="1"/>
  <c r="U38" i="1"/>
  <c r="V38" i="1"/>
  <c r="W38" i="1"/>
  <c r="S39" i="1"/>
  <c r="T39" i="1"/>
  <c r="U39" i="1"/>
  <c r="V39" i="1"/>
  <c r="W39" i="1"/>
  <c r="S40" i="1"/>
  <c r="T40" i="1"/>
  <c r="U40" i="1"/>
  <c r="V40" i="1"/>
  <c r="W40" i="1"/>
  <c r="S41" i="1"/>
  <c r="T41" i="1"/>
  <c r="U41" i="1"/>
  <c r="V41" i="1"/>
  <c r="W41" i="1"/>
  <c r="S42" i="1"/>
  <c r="T42" i="1"/>
  <c r="U42" i="1"/>
  <c r="V42" i="1"/>
  <c r="W42" i="1"/>
  <c r="S43" i="1"/>
  <c r="T43" i="1"/>
  <c r="U43" i="1"/>
  <c r="V43" i="1"/>
  <c r="W43" i="1"/>
  <c r="S44" i="1"/>
  <c r="T44" i="1"/>
  <c r="U44" i="1"/>
  <c r="V44" i="1"/>
  <c r="W44" i="1"/>
  <c r="S45" i="1"/>
  <c r="T45" i="1"/>
  <c r="U45" i="1"/>
  <c r="V45" i="1"/>
  <c r="W45" i="1"/>
  <c r="S46" i="1"/>
  <c r="T46" i="1"/>
  <c r="U46" i="1"/>
  <c r="V46" i="1"/>
  <c r="W46" i="1"/>
  <c r="S47" i="1"/>
  <c r="T47" i="1"/>
  <c r="U47" i="1"/>
  <c r="V47" i="1"/>
  <c r="W47" i="1"/>
  <c r="S48" i="1"/>
  <c r="T48" i="1"/>
  <c r="U48" i="1"/>
  <c r="V48" i="1"/>
  <c r="W48" i="1"/>
  <c r="S49" i="1"/>
  <c r="T49" i="1"/>
  <c r="U49" i="1"/>
  <c r="V49" i="1"/>
  <c r="W49" i="1"/>
  <c r="S50" i="1"/>
  <c r="T50" i="1"/>
  <c r="U50" i="1"/>
  <c r="V50" i="1"/>
  <c r="W50" i="1"/>
  <c r="S51" i="1"/>
  <c r="T51" i="1"/>
  <c r="U51" i="1"/>
  <c r="V51" i="1"/>
  <c r="W51" i="1"/>
  <c r="S52" i="1"/>
  <c r="T52" i="1"/>
  <c r="U52" i="1"/>
  <c r="V52" i="1"/>
  <c r="W52" i="1"/>
  <c r="S53" i="1"/>
  <c r="T53" i="1"/>
  <c r="U53" i="1"/>
  <c r="V53" i="1"/>
  <c r="W53" i="1"/>
  <c r="S54" i="1"/>
  <c r="T54" i="1"/>
  <c r="U54" i="1"/>
  <c r="V54" i="1"/>
  <c r="W54" i="1"/>
  <c r="S55" i="1"/>
  <c r="T55" i="1"/>
  <c r="U55" i="1"/>
  <c r="V55" i="1"/>
  <c r="W55" i="1"/>
  <c r="S56" i="1"/>
  <c r="T56" i="1"/>
  <c r="U56" i="1"/>
  <c r="V56" i="1"/>
  <c r="W56" i="1"/>
  <c r="S57" i="1"/>
  <c r="T57" i="1"/>
  <c r="U57" i="1"/>
  <c r="V57" i="1"/>
  <c r="W57" i="1"/>
  <c r="S58" i="1"/>
  <c r="T58" i="1"/>
  <c r="U58" i="1"/>
  <c r="V58" i="1"/>
  <c r="W58" i="1"/>
  <c r="S59" i="1"/>
  <c r="T59" i="1"/>
  <c r="U59" i="1"/>
  <c r="V59" i="1"/>
  <c r="W59" i="1"/>
  <c r="S60" i="1"/>
  <c r="T60" i="1"/>
  <c r="U60" i="1"/>
  <c r="V60" i="1"/>
  <c r="W60" i="1"/>
  <c r="S61" i="1"/>
  <c r="T61" i="1"/>
  <c r="U61" i="1"/>
  <c r="V61" i="1"/>
  <c r="W61" i="1"/>
  <c r="S62" i="1"/>
  <c r="T62" i="1"/>
  <c r="U62" i="1"/>
  <c r="V62" i="1"/>
  <c r="W62" i="1"/>
  <c r="S63" i="1"/>
  <c r="T63" i="1"/>
  <c r="U63" i="1"/>
  <c r="V63" i="1"/>
  <c r="W63" i="1"/>
  <c r="S64" i="1"/>
  <c r="T64" i="1"/>
  <c r="U64" i="1"/>
  <c r="V64" i="1"/>
  <c r="W64" i="1"/>
  <c r="S65" i="1"/>
  <c r="T65" i="1"/>
  <c r="U65" i="1"/>
  <c r="V65" i="1"/>
  <c r="W65" i="1"/>
  <c r="S66" i="1"/>
  <c r="T66" i="1"/>
  <c r="U66" i="1"/>
  <c r="V66" i="1"/>
  <c r="W66" i="1"/>
  <c r="S67" i="1"/>
  <c r="T67" i="1"/>
  <c r="U67" i="1"/>
  <c r="V67" i="1"/>
  <c r="W67" i="1"/>
  <c r="S68" i="1"/>
  <c r="T68" i="1"/>
  <c r="U68" i="1"/>
  <c r="V68" i="1"/>
  <c r="W68" i="1"/>
  <c r="S69" i="1"/>
  <c r="T69" i="1"/>
  <c r="U69" i="1"/>
  <c r="V69" i="1"/>
  <c r="W69" i="1"/>
  <c r="S70" i="1"/>
  <c r="T70" i="1"/>
  <c r="U70" i="1"/>
  <c r="V70" i="1"/>
  <c r="W70" i="1"/>
  <c r="S71" i="1"/>
  <c r="T71" i="1"/>
  <c r="U71" i="1"/>
  <c r="V71" i="1"/>
  <c r="W71" i="1"/>
  <c r="S72" i="1"/>
  <c r="T72" i="1"/>
  <c r="U72" i="1"/>
  <c r="V72" i="1"/>
  <c r="W72" i="1"/>
  <c r="S73" i="1"/>
  <c r="T73" i="1"/>
  <c r="U73" i="1"/>
  <c r="V73" i="1"/>
  <c r="W73" i="1"/>
  <c r="S74" i="1"/>
  <c r="T74" i="1"/>
  <c r="U74" i="1"/>
  <c r="V74" i="1"/>
  <c r="W74" i="1"/>
  <c r="S75" i="1"/>
  <c r="T75" i="1"/>
  <c r="U75" i="1"/>
  <c r="V75" i="1"/>
  <c r="W75" i="1"/>
  <c r="S76" i="1"/>
  <c r="T76" i="1"/>
  <c r="U76" i="1"/>
  <c r="V76" i="1"/>
  <c r="W76" i="1"/>
  <c r="S77" i="1"/>
  <c r="T77" i="1"/>
  <c r="U77" i="1"/>
  <c r="V77" i="1"/>
  <c r="W77" i="1"/>
  <c r="S78" i="1"/>
  <c r="T78" i="1"/>
  <c r="U78" i="1"/>
  <c r="V78" i="1"/>
  <c r="W78" i="1"/>
  <c r="S79" i="1"/>
  <c r="T79" i="1"/>
  <c r="U79" i="1"/>
  <c r="V79" i="1"/>
  <c r="W79" i="1"/>
  <c r="S80" i="1"/>
  <c r="T80" i="1"/>
  <c r="U80" i="1"/>
  <c r="V80" i="1"/>
  <c r="W80" i="1"/>
  <c r="S81" i="1"/>
  <c r="T81" i="1"/>
  <c r="U81" i="1"/>
  <c r="V81" i="1"/>
  <c r="W81" i="1"/>
  <c r="S82" i="1"/>
  <c r="T82" i="1"/>
  <c r="U82" i="1"/>
  <c r="V82" i="1"/>
  <c r="W82" i="1"/>
  <c r="S83" i="1"/>
  <c r="T83" i="1"/>
  <c r="U83" i="1"/>
  <c r="V83" i="1"/>
  <c r="W83" i="1"/>
  <c r="S84" i="1"/>
  <c r="T84" i="1"/>
  <c r="U84" i="1"/>
  <c r="V84" i="1"/>
  <c r="W84" i="1"/>
  <c r="S85" i="1"/>
  <c r="T85" i="1"/>
  <c r="U85" i="1"/>
  <c r="V85" i="1"/>
  <c r="W85" i="1"/>
  <c r="S86" i="1"/>
  <c r="T86" i="1"/>
  <c r="U86" i="1"/>
  <c r="V86" i="1"/>
  <c r="W86" i="1"/>
  <c r="S87" i="1"/>
  <c r="T87" i="1"/>
  <c r="U87" i="1"/>
  <c r="V87" i="1"/>
  <c r="W87" i="1"/>
  <c r="S88" i="1"/>
  <c r="T88" i="1"/>
  <c r="U88" i="1"/>
  <c r="V88" i="1"/>
  <c r="W88" i="1"/>
  <c r="S89" i="1"/>
  <c r="T89" i="1"/>
  <c r="U89" i="1"/>
  <c r="V89" i="1"/>
  <c r="W89" i="1"/>
  <c r="S90" i="1"/>
  <c r="T90" i="1"/>
  <c r="U90" i="1"/>
  <c r="V90" i="1"/>
  <c r="W90" i="1"/>
  <c r="S91" i="1"/>
  <c r="T91" i="1"/>
  <c r="U91" i="1"/>
  <c r="V91" i="1"/>
  <c r="W91" i="1"/>
  <c r="S92" i="1"/>
  <c r="T92" i="1"/>
  <c r="U92" i="1"/>
  <c r="V92" i="1"/>
  <c r="W92" i="1"/>
  <c r="S93" i="1"/>
  <c r="T93" i="1"/>
  <c r="U93" i="1"/>
  <c r="V93" i="1"/>
  <c r="W93" i="1"/>
  <c r="S94" i="1"/>
  <c r="T94" i="1"/>
  <c r="U94" i="1"/>
  <c r="V94" i="1"/>
  <c r="W94" i="1"/>
  <c r="S95" i="1"/>
  <c r="T95" i="1"/>
  <c r="U95" i="1"/>
  <c r="V95" i="1"/>
  <c r="W95" i="1"/>
  <c r="S96" i="1"/>
  <c r="T96" i="1"/>
  <c r="U96" i="1"/>
  <c r="V96" i="1"/>
  <c r="W96" i="1"/>
  <c r="S97" i="1"/>
  <c r="T97" i="1"/>
  <c r="U97" i="1"/>
  <c r="V97" i="1"/>
  <c r="W97" i="1"/>
  <c r="S98" i="1"/>
  <c r="T98" i="1"/>
  <c r="U98" i="1"/>
  <c r="V98" i="1"/>
  <c r="W98" i="1"/>
  <c r="S99" i="1"/>
  <c r="T99" i="1"/>
  <c r="U99" i="1"/>
  <c r="V99" i="1"/>
  <c r="W99" i="1"/>
  <c r="S100" i="1"/>
  <c r="T100" i="1"/>
  <c r="U100" i="1"/>
  <c r="V100" i="1"/>
  <c r="W100" i="1"/>
  <c r="S101" i="1"/>
  <c r="T101" i="1"/>
  <c r="U101" i="1"/>
  <c r="V101" i="1"/>
  <c r="W101" i="1"/>
  <c r="S102" i="1"/>
  <c r="T102" i="1"/>
  <c r="U102" i="1"/>
  <c r="V102" i="1"/>
  <c r="W102" i="1"/>
  <c r="S103" i="1"/>
  <c r="T103" i="1"/>
  <c r="U103" i="1"/>
  <c r="V103" i="1"/>
  <c r="W103" i="1"/>
  <c r="S104" i="1"/>
  <c r="T104" i="1"/>
  <c r="U104" i="1"/>
  <c r="V104" i="1"/>
  <c r="W104" i="1"/>
  <c r="S105" i="1"/>
  <c r="T105" i="1"/>
  <c r="U105" i="1"/>
  <c r="V105" i="1"/>
  <c r="W105" i="1"/>
  <c r="S106" i="1"/>
  <c r="T106" i="1"/>
  <c r="U106" i="1"/>
  <c r="V106" i="1"/>
  <c r="W106" i="1"/>
  <c r="S107" i="1"/>
  <c r="T107" i="1"/>
  <c r="U107" i="1"/>
  <c r="V107" i="1"/>
  <c r="W107" i="1"/>
  <c r="S108" i="1"/>
  <c r="T108" i="1"/>
  <c r="U108" i="1"/>
  <c r="V108" i="1"/>
  <c r="W108" i="1"/>
  <c r="S109" i="1"/>
  <c r="T109" i="1"/>
  <c r="U109" i="1"/>
  <c r="V109" i="1"/>
  <c r="W109" i="1"/>
  <c r="S110" i="1"/>
  <c r="T110" i="1"/>
  <c r="U110" i="1"/>
  <c r="V110" i="1"/>
  <c r="W110" i="1"/>
  <c r="S111" i="1"/>
  <c r="T111" i="1"/>
  <c r="U111" i="1"/>
  <c r="V111" i="1"/>
  <c r="W111" i="1"/>
  <c r="S112" i="1"/>
  <c r="T112" i="1"/>
  <c r="U112" i="1"/>
  <c r="V112" i="1"/>
  <c r="W112" i="1"/>
  <c r="S113" i="1"/>
  <c r="T113" i="1"/>
  <c r="U113" i="1"/>
  <c r="V113" i="1"/>
  <c r="W113" i="1"/>
  <c r="S114" i="1"/>
  <c r="T114" i="1"/>
  <c r="U114" i="1"/>
  <c r="V114" i="1"/>
  <c r="W114" i="1"/>
  <c r="S115" i="1"/>
  <c r="T115" i="1"/>
  <c r="U115" i="1"/>
  <c r="V115" i="1"/>
  <c r="W115" i="1"/>
  <c r="S116" i="1"/>
  <c r="T116" i="1"/>
  <c r="U116" i="1"/>
  <c r="V116" i="1"/>
  <c r="W116" i="1"/>
  <c r="S117" i="1"/>
  <c r="T117" i="1"/>
  <c r="U117" i="1"/>
  <c r="V117" i="1"/>
  <c r="W117" i="1"/>
  <c r="S118" i="1"/>
  <c r="T118" i="1"/>
  <c r="U118" i="1"/>
  <c r="V118" i="1"/>
  <c r="W118" i="1"/>
  <c r="S119" i="1"/>
  <c r="T119" i="1"/>
  <c r="U119" i="1"/>
  <c r="V119" i="1"/>
  <c r="W119" i="1"/>
  <c r="S120" i="1"/>
  <c r="T120" i="1"/>
  <c r="U120" i="1"/>
  <c r="V120" i="1"/>
  <c r="W120" i="1"/>
  <c r="S121" i="1"/>
  <c r="T121" i="1"/>
  <c r="U121" i="1"/>
  <c r="V121" i="1"/>
  <c r="W121" i="1"/>
  <c r="S122" i="1"/>
  <c r="T122" i="1"/>
  <c r="U122" i="1"/>
  <c r="V122" i="1"/>
  <c r="W122" i="1"/>
  <c r="S123" i="1"/>
  <c r="T123" i="1"/>
  <c r="U123" i="1"/>
  <c r="V123" i="1"/>
  <c r="W123" i="1"/>
  <c r="S124" i="1"/>
  <c r="T124" i="1"/>
  <c r="U124" i="1"/>
  <c r="V124" i="1"/>
  <c r="W124" i="1"/>
  <c r="S125" i="1"/>
  <c r="T125" i="1"/>
  <c r="U125" i="1"/>
  <c r="V125" i="1"/>
  <c r="W125" i="1"/>
  <c r="S126" i="1"/>
  <c r="T126" i="1"/>
  <c r="U126" i="1"/>
  <c r="V126" i="1"/>
  <c r="W126" i="1"/>
  <c r="S127" i="1"/>
  <c r="T127" i="1"/>
  <c r="U127" i="1"/>
  <c r="V127" i="1"/>
  <c r="W127" i="1"/>
  <c r="S128" i="1"/>
  <c r="T128" i="1"/>
  <c r="U128" i="1"/>
  <c r="V128" i="1"/>
  <c r="W128" i="1"/>
  <c r="S129" i="1"/>
  <c r="T129" i="1"/>
  <c r="U129" i="1"/>
  <c r="V129" i="1"/>
  <c r="W129" i="1"/>
  <c r="S130" i="1"/>
  <c r="T130" i="1"/>
  <c r="U130" i="1"/>
  <c r="V130" i="1"/>
  <c r="W130" i="1"/>
  <c r="S131" i="1"/>
  <c r="T131" i="1"/>
  <c r="U131" i="1"/>
  <c r="V131" i="1"/>
  <c r="W131" i="1"/>
  <c r="S132" i="1"/>
  <c r="T132" i="1"/>
  <c r="U132" i="1"/>
  <c r="V132" i="1"/>
  <c r="W132" i="1"/>
  <c r="S133" i="1"/>
  <c r="T133" i="1"/>
  <c r="U133" i="1"/>
  <c r="V133" i="1"/>
  <c r="W133" i="1"/>
  <c r="S134" i="1"/>
  <c r="T134" i="1"/>
  <c r="U134" i="1"/>
  <c r="V134" i="1"/>
  <c r="W134" i="1"/>
  <c r="S135" i="1"/>
  <c r="T135" i="1"/>
  <c r="U135" i="1"/>
  <c r="V135" i="1"/>
  <c r="W135" i="1"/>
  <c r="S136" i="1"/>
  <c r="T136" i="1"/>
  <c r="U136" i="1"/>
  <c r="V136" i="1"/>
  <c r="W136" i="1"/>
  <c r="S137" i="1"/>
  <c r="T137" i="1"/>
  <c r="U137" i="1"/>
  <c r="V137" i="1"/>
  <c r="W137" i="1"/>
  <c r="S138" i="1"/>
  <c r="T138" i="1"/>
  <c r="U138" i="1"/>
  <c r="V138" i="1"/>
  <c r="W138" i="1"/>
  <c r="S139" i="1"/>
  <c r="T139" i="1"/>
  <c r="U139" i="1"/>
  <c r="V139" i="1"/>
  <c r="W139" i="1"/>
  <c r="S140" i="1"/>
  <c r="T140" i="1"/>
  <c r="U140" i="1"/>
  <c r="V140" i="1"/>
  <c r="W140" i="1"/>
  <c r="S141" i="1"/>
  <c r="T141" i="1"/>
  <c r="U141" i="1"/>
  <c r="V141" i="1"/>
  <c r="W141" i="1"/>
  <c r="S142" i="1"/>
  <c r="T142" i="1"/>
  <c r="U142" i="1"/>
  <c r="V142" i="1"/>
  <c r="W142" i="1"/>
  <c r="S143" i="1"/>
  <c r="T143" i="1"/>
  <c r="U143" i="1"/>
  <c r="V143" i="1"/>
  <c r="W143" i="1"/>
  <c r="S144" i="1"/>
  <c r="T144" i="1"/>
  <c r="U144" i="1"/>
  <c r="V144" i="1"/>
  <c r="W144" i="1"/>
  <c r="S145" i="1"/>
  <c r="T145" i="1"/>
  <c r="U145" i="1"/>
  <c r="V145" i="1"/>
  <c r="W145" i="1"/>
  <c r="S146" i="1"/>
  <c r="T146" i="1"/>
  <c r="U146" i="1"/>
  <c r="V146" i="1"/>
  <c r="W146" i="1"/>
  <c r="S147" i="1"/>
  <c r="T147" i="1"/>
  <c r="U147" i="1"/>
  <c r="V147" i="1"/>
  <c r="W147" i="1"/>
  <c r="S148" i="1"/>
  <c r="T148" i="1"/>
  <c r="U148" i="1"/>
  <c r="V148" i="1"/>
  <c r="W148" i="1"/>
  <c r="S149" i="1"/>
  <c r="T149" i="1"/>
  <c r="U149" i="1"/>
  <c r="V149" i="1"/>
  <c r="W149" i="1"/>
  <c r="S150" i="1"/>
  <c r="T150" i="1"/>
  <c r="U150" i="1"/>
  <c r="V150" i="1"/>
  <c r="W150" i="1"/>
  <c r="S151" i="1"/>
  <c r="T151" i="1"/>
  <c r="U151" i="1"/>
  <c r="V151" i="1"/>
  <c r="W151" i="1"/>
  <c r="S152" i="1"/>
  <c r="T152" i="1"/>
  <c r="U152" i="1"/>
  <c r="V152" i="1"/>
  <c r="W152" i="1"/>
  <c r="S153" i="1"/>
  <c r="T153" i="1"/>
  <c r="U153" i="1"/>
  <c r="V153" i="1"/>
  <c r="W153" i="1"/>
  <c r="S154" i="1"/>
  <c r="T154" i="1"/>
  <c r="U154" i="1"/>
  <c r="V154" i="1"/>
  <c r="W154" i="1"/>
  <c r="S155" i="1"/>
  <c r="T155" i="1"/>
  <c r="U155" i="1"/>
  <c r="V155" i="1"/>
  <c r="W155" i="1"/>
  <c r="S156" i="1"/>
  <c r="T156" i="1"/>
  <c r="U156" i="1"/>
  <c r="V156" i="1"/>
  <c r="W156" i="1"/>
  <c r="S157" i="1"/>
  <c r="T157" i="1"/>
  <c r="U157" i="1"/>
  <c r="V157" i="1"/>
  <c r="W157" i="1"/>
  <c r="S158" i="1"/>
  <c r="T158" i="1"/>
  <c r="U158" i="1"/>
  <c r="V158" i="1"/>
  <c r="W158" i="1"/>
  <c r="S159" i="1"/>
  <c r="T159" i="1"/>
  <c r="U159" i="1"/>
  <c r="V159" i="1"/>
  <c r="W159" i="1"/>
  <c r="S160" i="1"/>
  <c r="T160" i="1"/>
  <c r="U160" i="1"/>
  <c r="V160" i="1"/>
  <c r="W160" i="1"/>
  <c r="S161" i="1"/>
  <c r="T161" i="1"/>
  <c r="U161" i="1"/>
  <c r="V161" i="1"/>
  <c r="W161" i="1"/>
  <c r="S162" i="1"/>
  <c r="T162" i="1"/>
  <c r="U162" i="1"/>
  <c r="V162" i="1"/>
  <c r="W162" i="1"/>
  <c r="S163" i="1"/>
  <c r="T163" i="1"/>
  <c r="U163" i="1"/>
  <c r="V163" i="1"/>
  <c r="W163" i="1"/>
  <c r="S164" i="1"/>
  <c r="T164" i="1"/>
  <c r="U164" i="1"/>
  <c r="V164" i="1"/>
  <c r="W164" i="1"/>
  <c r="S165" i="1"/>
  <c r="T165" i="1"/>
  <c r="U165" i="1"/>
  <c r="V165" i="1"/>
  <c r="W165" i="1"/>
  <c r="S166" i="1"/>
  <c r="T166" i="1"/>
  <c r="U166" i="1"/>
  <c r="V166" i="1"/>
  <c r="W166" i="1"/>
  <c r="S167" i="1"/>
  <c r="T167" i="1"/>
  <c r="U167" i="1"/>
  <c r="V167" i="1"/>
  <c r="W167" i="1"/>
  <c r="S168" i="1"/>
  <c r="T168" i="1"/>
  <c r="U168" i="1"/>
  <c r="V168" i="1"/>
  <c r="W168" i="1"/>
  <c r="S169" i="1"/>
  <c r="T169" i="1"/>
  <c r="U169" i="1"/>
  <c r="V169" i="1"/>
  <c r="W169" i="1"/>
  <c r="S170" i="1"/>
  <c r="T170" i="1"/>
  <c r="U170" i="1"/>
  <c r="V170" i="1"/>
  <c r="W170" i="1"/>
  <c r="S171" i="1"/>
  <c r="T171" i="1"/>
  <c r="U171" i="1"/>
  <c r="V171" i="1"/>
  <c r="W171" i="1"/>
  <c r="S172" i="1"/>
  <c r="T172" i="1"/>
  <c r="U172" i="1"/>
  <c r="V172" i="1"/>
  <c r="W172" i="1"/>
  <c r="S173" i="1"/>
  <c r="T173" i="1"/>
  <c r="U173" i="1"/>
  <c r="V173" i="1"/>
  <c r="W173" i="1"/>
  <c r="S174" i="1"/>
  <c r="T174" i="1"/>
  <c r="U174" i="1"/>
  <c r="V174" i="1"/>
  <c r="W174" i="1"/>
  <c r="S175" i="1"/>
  <c r="T175" i="1"/>
  <c r="U175" i="1"/>
  <c r="V175" i="1"/>
  <c r="W175" i="1"/>
  <c r="S176" i="1"/>
  <c r="T176" i="1"/>
  <c r="U176" i="1"/>
  <c r="V176" i="1"/>
  <c r="W176" i="1"/>
  <c r="S177" i="1"/>
  <c r="T177" i="1"/>
  <c r="U177" i="1"/>
  <c r="V177" i="1"/>
  <c r="W177" i="1"/>
  <c r="S178" i="1"/>
  <c r="T178" i="1"/>
  <c r="U178" i="1"/>
  <c r="V178" i="1"/>
  <c r="W178" i="1"/>
  <c r="S179" i="1"/>
  <c r="T179" i="1"/>
  <c r="U179" i="1"/>
  <c r="V179" i="1"/>
  <c r="W179" i="1"/>
  <c r="S180" i="1"/>
  <c r="T180" i="1"/>
  <c r="U180" i="1"/>
  <c r="V180" i="1"/>
  <c r="W180" i="1"/>
  <c r="S181" i="1"/>
  <c r="T181" i="1"/>
  <c r="U181" i="1"/>
  <c r="V181" i="1"/>
  <c r="W181" i="1"/>
  <c r="S182" i="1"/>
  <c r="T182" i="1"/>
  <c r="U182" i="1"/>
  <c r="V182" i="1"/>
  <c r="W182" i="1"/>
  <c r="S183" i="1"/>
  <c r="T183" i="1"/>
  <c r="U183" i="1"/>
  <c r="V183" i="1"/>
  <c r="W183" i="1"/>
  <c r="S184" i="1"/>
  <c r="T184" i="1"/>
  <c r="U184" i="1"/>
  <c r="V184" i="1"/>
  <c r="W184" i="1"/>
  <c r="S185" i="1"/>
  <c r="T185" i="1"/>
  <c r="U185" i="1"/>
  <c r="V185" i="1"/>
  <c r="W185" i="1"/>
  <c r="S186" i="1"/>
  <c r="T186" i="1"/>
  <c r="U186" i="1"/>
  <c r="V186" i="1"/>
  <c r="W186" i="1"/>
  <c r="S187" i="1"/>
  <c r="T187" i="1"/>
  <c r="U187" i="1"/>
  <c r="V187" i="1"/>
  <c r="W187" i="1"/>
  <c r="S188" i="1"/>
  <c r="T188" i="1"/>
  <c r="U188" i="1"/>
  <c r="V188" i="1"/>
  <c r="W188" i="1"/>
  <c r="S189" i="1"/>
  <c r="T189" i="1"/>
  <c r="U189" i="1"/>
  <c r="V189" i="1"/>
  <c r="W189" i="1"/>
  <c r="S190" i="1"/>
  <c r="T190" i="1"/>
  <c r="U190" i="1"/>
  <c r="V190" i="1"/>
  <c r="W190" i="1"/>
  <c r="S191" i="1"/>
  <c r="T191" i="1"/>
  <c r="U191" i="1"/>
  <c r="V191" i="1"/>
  <c r="W191" i="1"/>
  <c r="S192" i="1"/>
  <c r="T192" i="1"/>
  <c r="U192" i="1"/>
  <c r="V192" i="1"/>
  <c r="W192" i="1"/>
  <c r="S193" i="1"/>
  <c r="T193" i="1"/>
  <c r="U193" i="1"/>
  <c r="V193" i="1"/>
  <c r="W193" i="1"/>
  <c r="S194" i="1"/>
  <c r="T194" i="1"/>
  <c r="U194" i="1"/>
  <c r="V194" i="1"/>
  <c r="W194" i="1"/>
  <c r="S195" i="1"/>
  <c r="T195" i="1"/>
  <c r="U195" i="1"/>
  <c r="V195" i="1"/>
  <c r="W195" i="1"/>
  <c r="S196" i="1"/>
  <c r="T196" i="1"/>
  <c r="U196" i="1"/>
  <c r="V196" i="1"/>
  <c r="W196" i="1"/>
  <c r="S197" i="1"/>
  <c r="T197" i="1"/>
  <c r="U197" i="1"/>
  <c r="V197" i="1"/>
  <c r="W197" i="1"/>
  <c r="S198" i="1"/>
  <c r="T198" i="1"/>
  <c r="U198" i="1"/>
  <c r="V198" i="1"/>
  <c r="W198" i="1"/>
  <c r="S199" i="1"/>
  <c r="T199" i="1"/>
  <c r="U199" i="1"/>
  <c r="V199" i="1"/>
  <c r="W199" i="1"/>
  <c r="S200" i="1"/>
  <c r="T200" i="1"/>
  <c r="U200" i="1"/>
  <c r="V200" i="1"/>
  <c r="W200" i="1"/>
  <c r="S201" i="1"/>
  <c r="T201" i="1"/>
  <c r="U201" i="1"/>
  <c r="V201" i="1"/>
  <c r="W201" i="1"/>
  <c r="S202" i="1"/>
  <c r="T202" i="1"/>
  <c r="U202" i="1"/>
  <c r="V202" i="1"/>
  <c r="W202" i="1"/>
  <c r="S203" i="1"/>
  <c r="T203" i="1"/>
  <c r="U203" i="1"/>
  <c r="V203" i="1"/>
  <c r="W203" i="1"/>
  <c r="S204" i="1"/>
  <c r="T204" i="1"/>
  <c r="U204" i="1"/>
  <c r="V204" i="1"/>
  <c r="W204" i="1"/>
  <c r="S205" i="1"/>
  <c r="T205" i="1"/>
  <c r="U205" i="1"/>
  <c r="V205" i="1"/>
  <c r="W205" i="1"/>
  <c r="S206" i="1"/>
  <c r="T206" i="1"/>
  <c r="U206" i="1"/>
  <c r="V206" i="1"/>
  <c r="W206" i="1"/>
  <c r="S207" i="1"/>
  <c r="T207" i="1"/>
  <c r="U207" i="1"/>
  <c r="V207" i="1"/>
  <c r="W207" i="1"/>
  <c r="S208" i="1"/>
  <c r="T208" i="1"/>
  <c r="U208" i="1"/>
  <c r="V208" i="1"/>
  <c r="W208" i="1"/>
  <c r="S209" i="1"/>
  <c r="T209" i="1"/>
  <c r="U209" i="1"/>
  <c r="V209" i="1"/>
  <c r="W209" i="1"/>
  <c r="S210" i="1"/>
  <c r="T210" i="1"/>
  <c r="U210" i="1"/>
  <c r="V210" i="1"/>
  <c r="W210" i="1"/>
  <c r="S211" i="1"/>
  <c r="T211" i="1"/>
  <c r="U211" i="1"/>
  <c r="V211" i="1"/>
  <c r="W211" i="1"/>
  <c r="S212" i="1"/>
  <c r="T212" i="1"/>
  <c r="U212" i="1"/>
  <c r="V212" i="1"/>
  <c r="W212" i="1"/>
  <c r="S213" i="1"/>
  <c r="T213" i="1"/>
  <c r="U213" i="1"/>
  <c r="V213" i="1"/>
  <c r="W213" i="1"/>
  <c r="S214" i="1"/>
  <c r="T214" i="1"/>
  <c r="U214" i="1"/>
  <c r="V214" i="1"/>
  <c r="W214" i="1"/>
  <c r="S215" i="1"/>
  <c r="T215" i="1"/>
  <c r="U215" i="1"/>
  <c r="V215" i="1"/>
  <c r="W215" i="1"/>
  <c r="S216" i="1"/>
  <c r="T216" i="1"/>
  <c r="U216" i="1"/>
  <c r="V216" i="1"/>
  <c r="W216" i="1"/>
  <c r="S217" i="1"/>
  <c r="T217" i="1"/>
  <c r="U217" i="1"/>
  <c r="V217" i="1"/>
  <c r="W217" i="1"/>
  <c r="S218" i="1"/>
  <c r="T218" i="1"/>
  <c r="U218" i="1"/>
  <c r="V218" i="1"/>
  <c r="W218" i="1"/>
  <c r="S219" i="1"/>
  <c r="T219" i="1"/>
  <c r="U219" i="1"/>
  <c r="V219" i="1"/>
  <c r="W219" i="1"/>
  <c r="S220" i="1"/>
  <c r="T220" i="1"/>
  <c r="U220" i="1"/>
  <c r="V220" i="1"/>
  <c r="W220" i="1"/>
  <c r="S221" i="1"/>
  <c r="T221" i="1"/>
  <c r="U221" i="1"/>
  <c r="V221" i="1"/>
  <c r="W221" i="1"/>
  <c r="S222" i="1"/>
  <c r="T222" i="1"/>
  <c r="U222" i="1"/>
  <c r="V222" i="1"/>
  <c r="W222" i="1"/>
  <c r="S223" i="1"/>
  <c r="T223" i="1"/>
  <c r="U223" i="1"/>
  <c r="V223" i="1"/>
  <c r="W223" i="1"/>
  <c r="S224" i="1"/>
  <c r="T224" i="1"/>
  <c r="U224" i="1"/>
  <c r="V224" i="1"/>
  <c r="W224" i="1"/>
  <c r="S225" i="1"/>
  <c r="T225" i="1"/>
  <c r="U225" i="1"/>
  <c r="V225" i="1"/>
  <c r="W225" i="1"/>
  <c r="S226" i="1"/>
  <c r="T226" i="1"/>
  <c r="U226" i="1"/>
  <c r="V226" i="1"/>
  <c r="W226" i="1"/>
  <c r="S227" i="1"/>
  <c r="T227" i="1"/>
  <c r="U227" i="1"/>
  <c r="V227" i="1"/>
  <c r="W227" i="1"/>
  <c r="S228" i="1"/>
  <c r="T228" i="1"/>
  <c r="U228" i="1"/>
  <c r="V228" i="1"/>
  <c r="W228" i="1"/>
  <c r="S229" i="1"/>
  <c r="T229" i="1"/>
  <c r="U229" i="1"/>
  <c r="V229" i="1"/>
  <c r="W229" i="1"/>
  <c r="S230" i="1"/>
  <c r="T230" i="1"/>
  <c r="U230" i="1"/>
  <c r="V230" i="1"/>
  <c r="W230" i="1"/>
  <c r="S231" i="1"/>
  <c r="T231" i="1"/>
  <c r="U231" i="1"/>
  <c r="V231" i="1"/>
  <c r="W231" i="1"/>
  <c r="S232" i="1"/>
  <c r="T232" i="1"/>
  <c r="U232" i="1"/>
  <c r="V232" i="1"/>
  <c r="W232" i="1"/>
  <c r="S233" i="1"/>
  <c r="T233" i="1"/>
  <c r="U233" i="1"/>
  <c r="V233" i="1"/>
  <c r="W233" i="1"/>
  <c r="S234" i="1"/>
  <c r="T234" i="1"/>
  <c r="U234" i="1"/>
  <c r="V234" i="1"/>
  <c r="W234" i="1"/>
  <c r="S235" i="1"/>
  <c r="T235" i="1"/>
  <c r="U235" i="1"/>
  <c r="V235" i="1"/>
  <c r="W235" i="1"/>
  <c r="S236" i="1"/>
  <c r="T236" i="1"/>
  <c r="U236" i="1"/>
  <c r="V236" i="1"/>
  <c r="W236" i="1"/>
  <c r="S237" i="1"/>
  <c r="T237" i="1"/>
  <c r="U237" i="1"/>
  <c r="V237" i="1"/>
  <c r="W237" i="1"/>
  <c r="S238" i="1"/>
  <c r="T238" i="1"/>
  <c r="U238" i="1"/>
  <c r="V238" i="1"/>
  <c r="W238" i="1"/>
  <c r="S239" i="1"/>
  <c r="T239" i="1"/>
  <c r="U239" i="1"/>
  <c r="V239" i="1"/>
  <c r="W239" i="1"/>
  <c r="S240" i="1"/>
  <c r="T240" i="1"/>
  <c r="U240" i="1"/>
  <c r="V240" i="1"/>
  <c r="W240" i="1"/>
  <c r="S241" i="1"/>
  <c r="T241" i="1"/>
  <c r="U241" i="1"/>
  <c r="V241" i="1"/>
  <c r="W241" i="1"/>
  <c r="S242" i="1"/>
  <c r="T242" i="1"/>
  <c r="U242" i="1"/>
  <c r="V242" i="1"/>
  <c r="W242" i="1"/>
  <c r="S243" i="1"/>
  <c r="T243" i="1"/>
  <c r="U243" i="1"/>
  <c r="V243" i="1"/>
  <c r="W243" i="1"/>
  <c r="S244" i="1"/>
  <c r="T244" i="1"/>
  <c r="U244" i="1"/>
  <c r="V244" i="1"/>
  <c r="W244" i="1"/>
  <c r="S245" i="1"/>
  <c r="T245" i="1"/>
  <c r="U245" i="1"/>
  <c r="V245" i="1"/>
  <c r="W245" i="1"/>
  <c r="S246" i="1"/>
  <c r="T246" i="1"/>
  <c r="U246" i="1"/>
  <c r="V246" i="1"/>
  <c r="W246" i="1"/>
  <c r="S247" i="1"/>
  <c r="T247" i="1"/>
  <c r="U247" i="1"/>
  <c r="V247" i="1"/>
  <c r="W247" i="1"/>
  <c r="S248" i="1"/>
  <c r="T248" i="1"/>
  <c r="U248" i="1"/>
  <c r="V248" i="1"/>
  <c r="W248" i="1"/>
  <c r="S249" i="1"/>
  <c r="T249" i="1"/>
  <c r="U249" i="1"/>
  <c r="V249" i="1"/>
  <c r="W249" i="1"/>
  <c r="S250" i="1"/>
  <c r="T250" i="1"/>
  <c r="U250" i="1"/>
  <c r="V250" i="1"/>
  <c r="W250" i="1"/>
  <c r="S251" i="1"/>
  <c r="T251" i="1"/>
  <c r="U251" i="1"/>
  <c r="V251" i="1"/>
  <c r="W251" i="1"/>
  <c r="S252" i="1"/>
  <c r="T252" i="1"/>
  <c r="U252" i="1"/>
  <c r="V252" i="1"/>
  <c r="W252" i="1"/>
  <c r="S253" i="1"/>
  <c r="T253" i="1"/>
  <c r="U253" i="1"/>
  <c r="V253" i="1"/>
  <c r="W253" i="1"/>
  <c r="S254" i="1"/>
  <c r="T254" i="1"/>
  <c r="U254" i="1"/>
  <c r="V254" i="1"/>
  <c r="W254" i="1"/>
  <c r="S255" i="1"/>
  <c r="T255" i="1"/>
  <c r="U255" i="1"/>
  <c r="V255" i="1"/>
  <c r="W255" i="1"/>
  <c r="S256" i="1"/>
  <c r="T256" i="1"/>
  <c r="U256" i="1"/>
  <c r="V256" i="1"/>
  <c r="W256" i="1"/>
  <c r="S257" i="1"/>
  <c r="T257" i="1"/>
  <c r="U257" i="1"/>
  <c r="V257" i="1"/>
  <c r="W257" i="1"/>
  <c r="S258" i="1"/>
  <c r="T258" i="1"/>
  <c r="U258" i="1"/>
  <c r="V258" i="1"/>
  <c r="W258" i="1"/>
  <c r="S259" i="1"/>
  <c r="T259" i="1"/>
  <c r="U259" i="1"/>
  <c r="V259" i="1"/>
  <c r="W259" i="1"/>
  <c r="S260" i="1"/>
  <c r="T260" i="1"/>
  <c r="U260" i="1"/>
  <c r="V260" i="1"/>
  <c r="W260" i="1"/>
  <c r="S261" i="1"/>
  <c r="T261" i="1"/>
  <c r="U261" i="1"/>
  <c r="V261" i="1"/>
  <c r="W261" i="1"/>
  <c r="S262" i="1"/>
  <c r="T262" i="1"/>
  <c r="U262" i="1"/>
  <c r="V262" i="1"/>
  <c r="W262" i="1"/>
  <c r="S263" i="1"/>
  <c r="T263" i="1"/>
  <c r="U263" i="1"/>
  <c r="V263" i="1"/>
  <c r="W263" i="1"/>
  <c r="S264" i="1"/>
  <c r="T264" i="1"/>
  <c r="U264" i="1"/>
  <c r="V264" i="1"/>
  <c r="W264" i="1"/>
  <c r="S265" i="1"/>
  <c r="T265" i="1"/>
  <c r="U265" i="1"/>
  <c r="V265" i="1"/>
  <c r="W265" i="1"/>
  <c r="S266" i="1"/>
  <c r="T266" i="1"/>
  <c r="U266" i="1"/>
  <c r="V266" i="1"/>
  <c r="W266" i="1"/>
  <c r="S267" i="1"/>
  <c r="T267" i="1"/>
  <c r="U267" i="1"/>
  <c r="V267" i="1"/>
  <c r="W267" i="1"/>
  <c r="S268" i="1"/>
  <c r="T268" i="1"/>
  <c r="U268" i="1"/>
  <c r="V268" i="1"/>
  <c r="W268" i="1"/>
  <c r="S269" i="1"/>
  <c r="T269" i="1"/>
  <c r="U269" i="1"/>
  <c r="V269" i="1"/>
  <c r="W269" i="1"/>
  <c r="S270" i="1"/>
  <c r="T270" i="1"/>
  <c r="U270" i="1"/>
  <c r="V270" i="1"/>
  <c r="W270" i="1"/>
  <c r="S271" i="1"/>
  <c r="T271" i="1"/>
  <c r="U271" i="1"/>
  <c r="V271" i="1"/>
  <c r="W271" i="1"/>
  <c r="S272" i="1"/>
  <c r="T272" i="1"/>
  <c r="U272" i="1"/>
  <c r="V272" i="1"/>
  <c r="W272" i="1"/>
  <c r="S273" i="1"/>
  <c r="T273" i="1"/>
  <c r="U273" i="1"/>
  <c r="V273" i="1"/>
  <c r="W273" i="1"/>
  <c r="S274" i="1"/>
  <c r="T274" i="1"/>
  <c r="U274" i="1"/>
  <c r="V274" i="1"/>
  <c r="W274" i="1"/>
  <c r="S275" i="1"/>
  <c r="T275" i="1"/>
  <c r="U275" i="1"/>
  <c r="V275" i="1"/>
  <c r="W275" i="1"/>
  <c r="S276" i="1"/>
  <c r="T276" i="1"/>
  <c r="U276" i="1"/>
  <c r="V276" i="1"/>
  <c r="W276" i="1"/>
  <c r="S277" i="1"/>
  <c r="T277" i="1"/>
  <c r="U277" i="1"/>
  <c r="V277" i="1"/>
  <c r="W277" i="1"/>
  <c r="S278" i="1"/>
  <c r="T278" i="1"/>
  <c r="U278" i="1"/>
  <c r="V278" i="1"/>
  <c r="W278" i="1"/>
  <c r="S279" i="1"/>
  <c r="T279" i="1"/>
  <c r="U279" i="1"/>
  <c r="V279" i="1"/>
  <c r="W279" i="1"/>
  <c r="S280" i="1"/>
  <c r="T280" i="1"/>
  <c r="U280" i="1"/>
  <c r="V280" i="1"/>
  <c r="W280" i="1"/>
  <c r="S281" i="1"/>
  <c r="T281" i="1"/>
  <c r="U281" i="1"/>
  <c r="V281" i="1"/>
  <c r="W281" i="1"/>
  <c r="S282" i="1"/>
  <c r="T282" i="1"/>
  <c r="U282" i="1"/>
  <c r="V282" i="1"/>
  <c r="W282" i="1"/>
  <c r="S283" i="1"/>
  <c r="T283" i="1"/>
  <c r="U283" i="1"/>
  <c r="V283" i="1"/>
  <c r="W283" i="1"/>
  <c r="S284" i="1"/>
  <c r="T284" i="1"/>
  <c r="U284" i="1"/>
  <c r="V284" i="1"/>
  <c r="W284" i="1"/>
  <c r="S285" i="1"/>
  <c r="T285" i="1"/>
  <c r="U285" i="1"/>
  <c r="V285" i="1"/>
  <c r="W285" i="1"/>
  <c r="S286" i="1"/>
  <c r="T286" i="1"/>
  <c r="U286" i="1"/>
  <c r="V286" i="1"/>
  <c r="W286" i="1"/>
  <c r="S287" i="1"/>
  <c r="T287" i="1"/>
  <c r="U287" i="1"/>
  <c r="V287" i="1"/>
  <c r="W287" i="1"/>
  <c r="S288" i="1"/>
  <c r="T288" i="1"/>
  <c r="U288" i="1"/>
  <c r="V288" i="1"/>
  <c r="W288" i="1"/>
  <c r="S289" i="1"/>
  <c r="T289" i="1"/>
  <c r="U289" i="1"/>
  <c r="V289" i="1"/>
  <c r="W289" i="1"/>
  <c r="T2" i="1"/>
  <c r="U2" i="1"/>
  <c r="V2" i="1"/>
  <c r="W2" i="1"/>
  <c r="S2" i="1"/>
  <c r="S3" i="2"/>
  <c r="T3" i="2"/>
  <c r="U3" i="2"/>
  <c r="V3" i="2"/>
  <c r="W3" i="2"/>
  <c r="S4" i="2"/>
  <c r="T4" i="2"/>
  <c r="U4" i="2"/>
  <c r="V4" i="2"/>
  <c r="W4" i="2"/>
  <c r="S5" i="2"/>
  <c r="T5" i="2"/>
  <c r="U5" i="2"/>
  <c r="V5" i="2"/>
  <c r="W5" i="2"/>
  <c r="S6" i="2"/>
  <c r="T6" i="2"/>
  <c r="U6" i="2"/>
  <c r="V6" i="2"/>
  <c r="W6" i="2"/>
  <c r="S7" i="2"/>
  <c r="T7" i="2"/>
  <c r="U7" i="2"/>
  <c r="V7" i="2"/>
  <c r="W7" i="2"/>
  <c r="S8" i="2"/>
  <c r="T8" i="2"/>
  <c r="U8" i="2"/>
  <c r="V8" i="2"/>
  <c r="W8" i="2"/>
  <c r="S9" i="2"/>
  <c r="T9" i="2"/>
  <c r="U9" i="2"/>
  <c r="V9" i="2"/>
  <c r="W9" i="2"/>
  <c r="S10" i="2"/>
  <c r="T10" i="2"/>
  <c r="U10" i="2"/>
  <c r="V10" i="2"/>
  <c r="W10" i="2"/>
  <c r="S11" i="2"/>
  <c r="T11" i="2"/>
  <c r="U11" i="2"/>
  <c r="V11" i="2"/>
  <c r="W11" i="2"/>
  <c r="S12" i="2"/>
  <c r="T12" i="2"/>
  <c r="U12" i="2"/>
  <c r="V12" i="2"/>
  <c r="W12" i="2"/>
  <c r="S13" i="2"/>
  <c r="T13" i="2"/>
  <c r="U13" i="2"/>
  <c r="V13" i="2"/>
  <c r="W13" i="2"/>
  <c r="S14" i="2"/>
  <c r="T14" i="2"/>
  <c r="U14" i="2"/>
  <c r="V14" i="2"/>
  <c r="W14" i="2"/>
  <c r="S15" i="2"/>
  <c r="T15" i="2"/>
  <c r="U15" i="2"/>
  <c r="V15" i="2"/>
  <c r="W15" i="2"/>
  <c r="S16" i="2"/>
  <c r="T16" i="2"/>
  <c r="U16" i="2"/>
  <c r="V16" i="2"/>
  <c r="W16" i="2"/>
  <c r="S17" i="2"/>
  <c r="T17" i="2"/>
  <c r="U17" i="2"/>
  <c r="V17" i="2"/>
  <c r="W17" i="2"/>
  <c r="S18" i="2"/>
  <c r="T18" i="2"/>
  <c r="U18" i="2"/>
  <c r="V18" i="2"/>
  <c r="W18" i="2"/>
  <c r="S19" i="2"/>
  <c r="T19" i="2"/>
  <c r="U19" i="2"/>
  <c r="V19" i="2"/>
  <c r="W19" i="2"/>
  <c r="S20" i="2"/>
  <c r="T20" i="2"/>
  <c r="U20" i="2"/>
  <c r="V20" i="2"/>
  <c r="W20" i="2"/>
  <c r="S21" i="2"/>
  <c r="T21" i="2"/>
  <c r="U21" i="2"/>
  <c r="V21" i="2"/>
  <c r="W21" i="2"/>
  <c r="S22" i="2"/>
  <c r="T22" i="2"/>
  <c r="U22" i="2"/>
  <c r="V22" i="2"/>
  <c r="W22" i="2"/>
  <c r="S23" i="2"/>
  <c r="T23" i="2"/>
  <c r="U23" i="2"/>
  <c r="V23" i="2"/>
  <c r="W23" i="2"/>
  <c r="S24" i="2"/>
  <c r="T24" i="2"/>
  <c r="U24" i="2"/>
  <c r="V24" i="2"/>
  <c r="W24" i="2"/>
  <c r="S25" i="2"/>
  <c r="T25" i="2"/>
  <c r="U25" i="2"/>
  <c r="V25" i="2"/>
  <c r="W25" i="2"/>
  <c r="S26" i="2"/>
  <c r="T26" i="2"/>
  <c r="U26" i="2"/>
  <c r="V26" i="2"/>
  <c r="W26" i="2"/>
  <c r="S27" i="2"/>
  <c r="T27" i="2"/>
  <c r="U27" i="2"/>
  <c r="V27" i="2"/>
  <c r="W27" i="2"/>
  <c r="S28" i="2"/>
  <c r="T28" i="2"/>
  <c r="U28" i="2"/>
  <c r="V28" i="2"/>
  <c r="W28" i="2"/>
  <c r="S29" i="2"/>
  <c r="T29" i="2"/>
  <c r="U29" i="2"/>
  <c r="V29" i="2"/>
  <c r="W29" i="2"/>
  <c r="S30" i="2"/>
  <c r="T30" i="2"/>
  <c r="U30" i="2"/>
  <c r="V30" i="2"/>
  <c r="W30" i="2"/>
  <c r="S31" i="2"/>
  <c r="T31" i="2"/>
  <c r="U31" i="2"/>
  <c r="V31" i="2"/>
  <c r="W31" i="2"/>
  <c r="S32" i="2"/>
  <c r="T32" i="2"/>
  <c r="U32" i="2"/>
  <c r="V32" i="2"/>
  <c r="W32" i="2"/>
  <c r="S33" i="2"/>
  <c r="T33" i="2"/>
  <c r="U33" i="2"/>
  <c r="V33" i="2"/>
  <c r="W33" i="2"/>
  <c r="S34" i="2"/>
  <c r="T34" i="2"/>
  <c r="U34" i="2"/>
  <c r="V34" i="2"/>
  <c r="W34" i="2"/>
  <c r="S35" i="2"/>
  <c r="T35" i="2"/>
  <c r="U35" i="2"/>
  <c r="V35" i="2"/>
  <c r="W35" i="2"/>
  <c r="S36" i="2"/>
  <c r="T36" i="2"/>
  <c r="U36" i="2"/>
  <c r="V36" i="2"/>
  <c r="W36" i="2"/>
  <c r="S37" i="2"/>
  <c r="T37" i="2"/>
  <c r="U37" i="2"/>
  <c r="V37" i="2"/>
  <c r="W37" i="2"/>
  <c r="S38" i="2"/>
  <c r="T38" i="2"/>
  <c r="U38" i="2"/>
  <c r="V38" i="2"/>
  <c r="W38" i="2"/>
  <c r="S39" i="2"/>
  <c r="T39" i="2"/>
  <c r="U39" i="2"/>
  <c r="V39" i="2"/>
  <c r="W39" i="2"/>
  <c r="S40" i="2"/>
  <c r="T40" i="2"/>
  <c r="U40" i="2"/>
  <c r="V40" i="2"/>
  <c r="W40" i="2"/>
  <c r="S41" i="2"/>
  <c r="T41" i="2"/>
  <c r="U41" i="2"/>
  <c r="V41" i="2"/>
  <c r="W41" i="2"/>
  <c r="S42" i="2"/>
  <c r="T42" i="2"/>
  <c r="U42" i="2"/>
  <c r="V42" i="2"/>
  <c r="W42" i="2"/>
  <c r="S43" i="2"/>
  <c r="T43" i="2"/>
  <c r="U43" i="2"/>
  <c r="V43" i="2"/>
  <c r="W43" i="2"/>
  <c r="S44" i="2"/>
  <c r="T44" i="2"/>
  <c r="U44" i="2"/>
  <c r="V44" i="2"/>
  <c r="W44" i="2"/>
  <c r="S45" i="2"/>
  <c r="T45" i="2"/>
  <c r="U45" i="2"/>
  <c r="V45" i="2"/>
  <c r="W45" i="2"/>
  <c r="S46" i="2"/>
  <c r="T46" i="2"/>
  <c r="U46" i="2"/>
  <c r="V46" i="2"/>
  <c r="W46" i="2"/>
  <c r="S47" i="2"/>
  <c r="T47" i="2"/>
  <c r="U47" i="2"/>
  <c r="V47" i="2"/>
  <c r="W47" i="2"/>
  <c r="S48" i="2"/>
  <c r="T48" i="2"/>
  <c r="U48" i="2"/>
  <c r="V48" i="2"/>
  <c r="W48" i="2"/>
  <c r="S49" i="2"/>
  <c r="T49" i="2"/>
  <c r="U49" i="2"/>
  <c r="V49" i="2"/>
  <c r="W49" i="2"/>
  <c r="S50" i="2"/>
  <c r="T50" i="2"/>
  <c r="U50" i="2"/>
  <c r="V50" i="2"/>
  <c r="W50" i="2"/>
  <c r="S51" i="2"/>
  <c r="T51" i="2"/>
  <c r="U51" i="2"/>
  <c r="V51" i="2"/>
  <c r="W51" i="2"/>
  <c r="S52" i="2"/>
  <c r="T52" i="2"/>
  <c r="U52" i="2"/>
  <c r="V52" i="2"/>
  <c r="W52" i="2"/>
  <c r="S53" i="2"/>
  <c r="T53" i="2"/>
  <c r="U53" i="2"/>
  <c r="V53" i="2"/>
  <c r="W53" i="2"/>
  <c r="S54" i="2"/>
  <c r="T54" i="2"/>
  <c r="U54" i="2"/>
  <c r="V54" i="2"/>
  <c r="W54" i="2"/>
  <c r="S55" i="2"/>
  <c r="T55" i="2"/>
  <c r="U55" i="2"/>
  <c r="V55" i="2"/>
  <c r="W55" i="2"/>
  <c r="S56" i="2"/>
  <c r="T56" i="2"/>
  <c r="U56" i="2"/>
  <c r="V56" i="2"/>
  <c r="W56" i="2"/>
  <c r="S57" i="2"/>
  <c r="T57" i="2"/>
  <c r="U57" i="2"/>
  <c r="V57" i="2"/>
  <c r="W57" i="2"/>
  <c r="S58" i="2"/>
  <c r="T58" i="2"/>
  <c r="U58" i="2"/>
  <c r="V58" i="2"/>
  <c r="W58" i="2"/>
  <c r="S59" i="2"/>
  <c r="T59" i="2"/>
  <c r="U59" i="2"/>
  <c r="V59" i="2"/>
  <c r="W59" i="2"/>
  <c r="S60" i="2"/>
  <c r="T60" i="2"/>
  <c r="U60" i="2"/>
  <c r="V60" i="2"/>
  <c r="W60" i="2"/>
  <c r="S61" i="2"/>
  <c r="T61" i="2"/>
  <c r="U61" i="2"/>
  <c r="V61" i="2"/>
  <c r="W61" i="2"/>
  <c r="S62" i="2"/>
  <c r="T62" i="2"/>
  <c r="U62" i="2"/>
  <c r="V62" i="2"/>
  <c r="W62" i="2"/>
  <c r="S63" i="2"/>
  <c r="T63" i="2"/>
  <c r="U63" i="2"/>
  <c r="V63" i="2"/>
  <c r="W63" i="2"/>
  <c r="S64" i="2"/>
  <c r="T64" i="2"/>
  <c r="U64" i="2"/>
  <c r="V64" i="2"/>
  <c r="W64" i="2"/>
  <c r="S65" i="2"/>
  <c r="T65" i="2"/>
  <c r="U65" i="2"/>
  <c r="V65" i="2"/>
  <c r="W65" i="2"/>
  <c r="S66" i="2"/>
  <c r="T66" i="2"/>
  <c r="U66" i="2"/>
  <c r="V66" i="2"/>
  <c r="W66" i="2"/>
  <c r="S67" i="2"/>
  <c r="T67" i="2"/>
  <c r="U67" i="2"/>
  <c r="V67" i="2"/>
  <c r="W67" i="2"/>
  <c r="S68" i="2"/>
  <c r="T68" i="2"/>
  <c r="U68" i="2"/>
  <c r="V68" i="2"/>
  <c r="W68" i="2"/>
  <c r="S69" i="2"/>
  <c r="T69" i="2"/>
  <c r="U69" i="2"/>
  <c r="V69" i="2"/>
  <c r="W69" i="2"/>
  <c r="S70" i="2"/>
  <c r="T70" i="2"/>
  <c r="U70" i="2"/>
  <c r="V70" i="2"/>
  <c r="W70" i="2"/>
  <c r="S71" i="2"/>
  <c r="T71" i="2"/>
  <c r="U71" i="2"/>
  <c r="V71" i="2"/>
  <c r="W71" i="2"/>
  <c r="S72" i="2"/>
  <c r="T72" i="2"/>
  <c r="U72" i="2"/>
  <c r="V72" i="2"/>
  <c r="W72" i="2"/>
  <c r="S73" i="2"/>
  <c r="T73" i="2"/>
  <c r="U73" i="2"/>
  <c r="V73" i="2"/>
  <c r="W73" i="2"/>
  <c r="S74" i="2"/>
  <c r="T74" i="2"/>
  <c r="U74" i="2"/>
  <c r="V74" i="2"/>
  <c r="W74" i="2"/>
  <c r="S75" i="2"/>
  <c r="T75" i="2"/>
  <c r="U75" i="2"/>
  <c r="V75" i="2"/>
  <c r="W75" i="2"/>
  <c r="S76" i="2"/>
  <c r="T76" i="2"/>
  <c r="U76" i="2"/>
  <c r="V76" i="2"/>
  <c r="W76" i="2"/>
  <c r="S77" i="2"/>
  <c r="T77" i="2"/>
  <c r="U77" i="2"/>
  <c r="V77" i="2"/>
  <c r="W77" i="2"/>
  <c r="S78" i="2"/>
  <c r="T78" i="2"/>
  <c r="U78" i="2"/>
  <c r="V78" i="2"/>
  <c r="W78" i="2"/>
  <c r="S79" i="2"/>
  <c r="T79" i="2"/>
  <c r="U79" i="2"/>
  <c r="V79" i="2"/>
  <c r="W79" i="2"/>
  <c r="S80" i="2"/>
  <c r="T80" i="2"/>
  <c r="U80" i="2"/>
  <c r="V80" i="2"/>
  <c r="W80" i="2"/>
  <c r="S81" i="2"/>
  <c r="T81" i="2"/>
  <c r="U81" i="2"/>
  <c r="V81" i="2"/>
  <c r="W81" i="2"/>
  <c r="S82" i="2"/>
  <c r="T82" i="2"/>
  <c r="U82" i="2"/>
  <c r="V82" i="2"/>
  <c r="W82" i="2"/>
  <c r="S83" i="2"/>
  <c r="T83" i="2"/>
  <c r="U83" i="2"/>
  <c r="V83" i="2"/>
  <c r="W83" i="2"/>
  <c r="S84" i="2"/>
  <c r="T84" i="2"/>
  <c r="U84" i="2"/>
  <c r="V84" i="2"/>
  <c r="W84" i="2"/>
  <c r="S85" i="2"/>
  <c r="T85" i="2"/>
  <c r="U85" i="2"/>
  <c r="V85" i="2"/>
  <c r="W85" i="2"/>
  <c r="S86" i="2"/>
  <c r="T86" i="2"/>
  <c r="U86" i="2"/>
  <c r="V86" i="2"/>
  <c r="W86" i="2"/>
  <c r="S87" i="2"/>
  <c r="T87" i="2"/>
  <c r="U87" i="2"/>
  <c r="V87" i="2"/>
  <c r="W87" i="2"/>
  <c r="S88" i="2"/>
  <c r="T88" i="2"/>
  <c r="U88" i="2"/>
  <c r="V88" i="2"/>
  <c r="W88" i="2"/>
  <c r="S89" i="2"/>
  <c r="T89" i="2"/>
  <c r="U89" i="2"/>
  <c r="V89" i="2"/>
  <c r="W89" i="2"/>
  <c r="S90" i="2"/>
  <c r="T90" i="2"/>
  <c r="U90" i="2"/>
  <c r="V90" i="2"/>
  <c r="W90" i="2"/>
  <c r="S91" i="2"/>
  <c r="T91" i="2"/>
  <c r="U91" i="2"/>
  <c r="V91" i="2"/>
  <c r="W91" i="2"/>
  <c r="S92" i="2"/>
  <c r="T92" i="2"/>
  <c r="U92" i="2"/>
  <c r="V92" i="2"/>
  <c r="W92" i="2"/>
  <c r="S93" i="2"/>
  <c r="T93" i="2"/>
  <c r="U93" i="2"/>
  <c r="V93" i="2"/>
  <c r="W93" i="2"/>
  <c r="S94" i="2"/>
  <c r="T94" i="2"/>
  <c r="U94" i="2"/>
  <c r="V94" i="2"/>
  <c r="W94" i="2"/>
  <c r="S95" i="2"/>
  <c r="T95" i="2"/>
  <c r="U95" i="2"/>
  <c r="V95" i="2"/>
  <c r="W95" i="2"/>
  <c r="S96" i="2"/>
  <c r="T96" i="2"/>
  <c r="U96" i="2"/>
  <c r="V96" i="2"/>
  <c r="W96" i="2"/>
  <c r="S97" i="2"/>
  <c r="T97" i="2"/>
  <c r="U97" i="2"/>
  <c r="V97" i="2"/>
  <c r="W97" i="2"/>
  <c r="S98" i="2"/>
  <c r="T98" i="2"/>
  <c r="U98" i="2"/>
  <c r="V98" i="2"/>
  <c r="W98" i="2"/>
  <c r="S99" i="2"/>
  <c r="T99" i="2"/>
  <c r="U99" i="2"/>
  <c r="V99" i="2"/>
  <c r="W99" i="2"/>
  <c r="S100" i="2"/>
  <c r="T100" i="2"/>
  <c r="U100" i="2"/>
  <c r="V100" i="2"/>
  <c r="W100" i="2"/>
  <c r="S101" i="2"/>
  <c r="T101" i="2"/>
  <c r="U101" i="2"/>
  <c r="V101" i="2"/>
  <c r="W101" i="2"/>
  <c r="S102" i="2"/>
  <c r="T102" i="2"/>
  <c r="U102" i="2"/>
  <c r="V102" i="2"/>
  <c r="W102" i="2"/>
  <c r="S103" i="2"/>
  <c r="T103" i="2"/>
  <c r="U103" i="2"/>
  <c r="V103" i="2"/>
  <c r="W103" i="2"/>
  <c r="S104" i="2"/>
  <c r="T104" i="2"/>
  <c r="U104" i="2"/>
  <c r="V104" i="2"/>
  <c r="W104" i="2"/>
  <c r="S105" i="2"/>
  <c r="T105" i="2"/>
  <c r="U105" i="2"/>
  <c r="V105" i="2"/>
  <c r="W105" i="2"/>
  <c r="S106" i="2"/>
  <c r="T106" i="2"/>
  <c r="U106" i="2"/>
  <c r="V106" i="2"/>
  <c r="W106" i="2"/>
  <c r="S107" i="2"/>
  <c r="T107" i="2"/>
  <c r="U107" i="2"/>
  <c r="V107" i="2"/>
  <c r="W107" i="2"/>
  <c r="S108" i="2"/>
  <c r="T108" i="2"/>
  <c r="U108" i="2"/>
  <c r="V108" i="2"/>
  <c r="W108" i="2"/>
  <c r="S109" i="2"/>
  <c r="T109" i="2"/>
  <c r="U109" i="2"/>
  <c r="V109" i="2"/>
  <c r="W109" i="2"/>
  <c r="S110" i="2"/>
  <c r="T110" i="2"/>
  <c r="U110" i="2"/>
  <c r="V110" i="2"/>
  <c r="W110" i="2"/>
  <c r="S111" i="2"/>
  <c r="T111" i="2"/>
  <c r="U111" i="2"/>
  <c r="V111" i="2"/>
  <c r="W111" i="2"/>
  <c r="S112" i="2"/>
  <c r="T112" i="2"/>
  <c r="U112" i="2"/>
  <c r="V112" i="2"/>
  <c r="W112" i="2"/>
  <c r="S113" i="2"/>
  <c r="T113" i="2"/>
  <c r="U113" i="2"/>
  <c r="V113" i="2"/>
  <c r="W113" i="2"/>
  <c r="S114" i="2"/>
  <c r="T114" i="2"/>
  <c r="U114" i="2"/>
  <c r="V114" i="2"/>
  <c r="W114" i="2"/>
  <c r="S115" i="2"/>
  <c r="T115" i="2"/>
  <c r="U115" i="2"/>
  <c r="V115" i="2"/>
  <c r="W115" i="2"/>
  <c r="S116" i="2"/>
  <c r="T116" i="2"/>
  <c r="U116" i="2"/>
  <c r="V116" i="2"/>
  <c r="W116" i="2"/>
  <c r="S117" i="2"/>
  <c r="T117" i="2"/>
  <c r="U117" i="2"/>
  <c r="V117" i="2"/>
  <c r="W117" i="2"/>
  <c r="S118" i="2"/>
  <c r="T118" i="2"/>
  <c r="U118" i="2"/>
  <c r="V118" i="2"/>
  <c r="W118" i="2"/>
  <c r="S119" i="2"/>
  <c r="T119" i="2"/>
  <c r="U119" i="2"/>
  <c r="V119" i="2"/>
  <c r="W119" i="2"/>
  <c r="S120" i="2"/>
  <c r="T120" i="2"/>
  <c r="U120" i="2"/>
  <c r="V120" i="2"/>
  <c r="W120" i="2"/>
  <c r="S121" i="2"/>
  <c r="T121" i="2"/>
  <c r="U121" i="2"/>
  <c r="V121" i="2"/>
  <c r="W121" i="2"/>
  <c r="S122" i="2"/>
  <c r="T122" i="2"/>
  <c r="U122" i="2"/>
  <c r="V122" i="2"/>
  <c r="W122" i="2"/>
  <c r="S123" i="2"/>
  <c r="T123" i="2"/>
  <c r="U123" i="2"/>
  <c r="V123" i="2"/>
  <c r="W123" i="2"/>
  <c r="S124" i="2"/>
  <c r="T124" i="2"/>
  <c r="U124" i="2"/>
  <c r="V124" i="2"/>
  <c r="W124" i="2"/>
  <c r="S125" i="2"/>
  <c r="T125" i="2"/>
  <c r="U125" i="2"/>
  <c r="V125" i="2"/>
  <c r="W125" i="2"/>
  <c r="S126" i="2"/>
  <c r="T126" i="2"/>
  <c r="U126" i="2"/>
  <c r="V126" i="2"/>
  <c r="W126" i="2"/>
  <c r="S127" i="2"/>
  <c r="T127" i="2"/>
  <c r="U127" i="2"/>
  <c r="V127" i="2"/>
  <c r="W127" i="2"/>
  <c r="S128" i="2"/>
  <c r="T128" i="2"/>
  <c r="U128" i="2"/>
  <c r="V128" i="2"/>
  <c r="W128" i="2"/>
  <c r="S129" i="2"/>
  <c r="T129" i="2"/>
  <c r="U129" i="2"/>
  <c r="V129" i="2"/>
  <c r="W129" i="2"/>
  <c r="S130" i="2"/>
  <c r="T130" i="2"/>
  <c r="U130" i="2"/>
  <c r="V130" i="2"/>
  <c r="W130" i="2"/>
  <c r="S131" i="2"/>
  <c r="T131" i="2"/>
  <c r="U131" i="2"/>
  <c r="V131" i="2"/>
  <c r="W131" i="2"/>
  <c r="S132" i="2"/>
  <c r="T132" i="2"/>
  <c r="U132" i="2"/>
  <c r="V132" i="2"/>
  <c r="W132" i="2"/>
  <c r="S133" i="2"/>
  <c r="T133" i="2"/>
  <c r="U133" i="2"/>
  <c r="V133" i="2"/>
  <c r="W133" i="2"/>
  <c r="S134" i="2"/>
  <c r="T134" i="2"/>
  <c r="U134" i="2"/>
  <c r="V134" i="2"/>
  <c r="W134" i="2"/>
  <c r="S135" i="2"/>
  <c r="T135" i="2"/>
  <c r="U135" i="2"/>
  <c r="V135" i="2"/>
  <c r="W135" i="2"/>
  <c r="S136" i="2"/>
  <c r="T136" i="2"/>
  <c r="U136" i="2"/>
  <c r="V136" i="2"/>
  <c r="W136" i="2"/>
  <c r="S137" i="2"/>
  <c r="T137" i="2"/>
  <c r="U137" i="2"/>
  <c r="V137" i="2"/>
  <c r="W137" i="2"/>
  <c r="S138" i="2"/>
  <c r="T138" i="2"/>
  <c r="U138" i="2"/>
  <c r="V138" i="2"/>
  <c r="W138" i="2"/>
  <c r="S139" i="2"/>
  <c r="T139" i="2"/>
  <c r="U139" i="2"/>
  <c r="V139" i="2"/>
  <c r="W139" i="2"/>
  <c r="S140" i="2"/>
  <c r="T140" i="2"/>
  <c r="U140" i="2"/>
  <c r="V140" i="2"/>
  <c r="W140" i="2"/>
  <c r="S141" i="2"/>
  <c r="T141" i="2"/>
  <c r="U141" i="2"/>
  <c r="V141" i="2"/>
  <c r="W141" i="2"/>
  <c r="S142" i="2"/>
  <c r="T142" i="2"/>
  <c r="U142" i="2"/>
  <c r="V142" i="2"/>
  <c r="W142" i="2"/>
  <c r="S143" i="2"/>
  <c r="T143" i="2"/>
  <c r="U143" i="2"/>
  <c r="V143" i="2"/>
  <c r="W143" i="2"/>
  <c r="S144" i="2"/>
  <c r="T144" i="2"/>
  <c r="U144" i="2"/>
  <c r="V144" i="2"/>
  <c r="W144" i="2"/>
  <c r="S145" i="2"/>
  <c r="T145" i="2"/>
  <c r="U145" i="2"/>
  <c r="V145" i="2"/>
  <c r="W145" i="2"/>
  <c r="S146" i="2"/>
  <c r="T146" i="2"/>
  <c r="U146" i="2"/>
  <c r="V146" i="2"/>
  <c r="W146" i="2"/>
  <c r="S147" i="2"/>
  <c r="T147" i="2"/>
  <c r="U147" i="2"/>
  <c r="V147" i="2"/>
  <c r="W147" i="2"/>
  <c r="S148" i="2"/>
  <c r="T148" i="2"/>
  <c r="U148" i="2"/>
  <c r="V148" i="2"/>
  <c r="W148" i="2"/>
  <c r="S149" i="2"/>
  <c r="T149" i="2"/>
  <c r="U149" i="2"/>
  <c r="V149" i="2"/>
  <c r="W149" i="2"/>
  <c r="S150" i="2"/>
  <c r="T150" i="2"/>
  <c r="U150" i="2"/>
  <c r="V150" i="2"/>
  <c r="W150" i="2"/>
  <c r="S151" i="2"/>
  <c r="T151" i="2"/>
  <c r="U151" i="2"/>
  <c r="V151" i="2"/>
  <c r="W151" i="2"/>
  <c r="S152" i="2"/>
  <c r="T152" i="2"/>
  <c r="U152" i="2"/>
  <c r="V152" i="2"/>
  <c r="W152" i="2"/>
  <c r="S153" i="2"/>
  <c r="T153" i="2"/>
  <c r="U153" i="2"/>
  <c r="V153" i="2"/>
  <c r="W153" i="2"/>
  <c r="S154" i="2"/>
  <c r="T154" i="2"/>
  <c r="U154" i="2"/>
  <c r="V154" i="2"/>
  <c r="W154" i="2"/>
  <c r="S155" i="2"/>
  <c r="T155" i="2"/>
  <c r="U155" i="2"/>
  <c r="V155" i="2"/>
  <c r="W155" i="2"/>
  <c r="S156" i="2"/>
  <c r="T156" i="2"/>
  <c r="U156" i="2"/>
  <c r="V156" i="2"/>
  <c r="W156" i="2"/>
  <c r="S157" i="2"/>
  <c r="T157" i="2"/>
  <c r="U157" i="2"/>
  <c r="V157" i="2"/>
  <c r="W157" i="2"/>
  <c r="S158" i="2"/>
  <c r="T158" i="2"/>
  <c r="U158" i="2"/>
  <c r="V158" i="2"/>
  <c r="W158" i="2"/>
  <c r="S159" i="2"/>
  <c r="T159" i="2"/>
  <c r="U159" i="2"/>
  <c r="V159" i="2"/>
  <c r="W159" i="2"/>
  <c r="S160" i="2"/>
  <c r="T160" i="2"/>
  <c r="U160" i="2"/>
  <c r="V160" i="2"/>
  <c r="W160" i="2"/>
  <c r="S161" i="2"/>
  <c r="T161" i="2"/>
  <c r="U161" i="2"/>
  <c r="V161" i="2"/>
  <c r="W161" i="2"/>
  <c r="S162" i="2"/>
  <c r="T162" i="2"/>
  <c r="U162" i="2"/>
  <c r="V162" i="2"/>
  <c r="W162" i="2"/>
  <c r="S163" i="2"/>
  <c r="T163" i="2"/>
  <c r="U163" i="2"/>
  <c r="V163" i="2"/>
  <c r="W163" i="2"/>
  <c r="S164" i="2"/>
  <c r="T164" i="2"/>
  <c r="U164" i="2"/>
  <c r="V164" i="2"/>
  <c r="W164" i="2"/>
  <c r="S165" i="2"/>
  <c r="T165" i="2"/>
  <c r="U165" i="2"/>
  <c r="V165" i="2"/>
  <c r="W165" i="2"/>
  <c r="S166" i="2"/>
  <c r="T166" i="2"/>
  <c r="U166" i="2"/>
  <c r="V166" i="2"/>
  <c r="W166" i="2"/>
  <c r="S167" i="2"/>
  <c r="T167" i="2"/>
  <c r="U167" i="2"/>
  <c r="V167" i="2"/>
  <c r="W167" i="2"/>
  <c r="S168" i="2"/>
  <c r="T168" i="2"/>
  <c r="U168" i="2"/>
  <c r="V168" i="2"/>
  <c r="W168" i="2"/>
  <c r="S169" i="2"/>
  <c r="T169" i="2"/>
  <c r="U169" i="2"/>
  <c r="V169" i="2"/>
  <c r="W169" i="2"/>
  <c r="S170" i="2"/>
  <c r="T170" i="2"/>
  <c r="U170" i="2"/>
  <c r="V170" i="2"/>
  <c r="W170" i="2"/>
  <c r="S171" i="2"/>
  <c r="T171" i="2"/>
  <c r="U171" i="2"/>
  <c r="V171" i="2"/>
  <c r="W171" i="2"/>
  <c r="S172" i="2"/>
  <c r="T172" i="2"/>
  <c r="U172" i="2"/>
  <c r="V172" i="2"/>
  <c r="W172" i="2"/>
  <c r="S173" i="2"/>
  <c r="T173" i="2"/>
  <c r="U173" i="2"/>
  <c r="V173" i="2"/>
  <c r="W173" i="2"/>
  <c r="S174" i="2"/>
  <c r="T174" i="2"/>
  <c r="U174" i="2"/>
  <c r="V174" i="2"/>
  <c r="W174" i="2"/>
  <c r="S175" i="2"/>
  <c r="T175" i="2"/>
  <c r="U175" i="2"/>
  <c r="V175" i="2"/>
  <c r="W175" i="2"/>
  <c r="S176" i="2"/>
  <c r="T176" i="2"/>
  <c r="U176" i="2"/>
  <c r="V176" i="2"/>
  <c r="W176" i="2"/>
  <c r="S177" i="2"/>
  <c r="T177" i="2"/>
  <c r="U177" i="2"/>
  <c r="V177" i="2"/>
  <c r="W177" i="2"/>
  <c r="S178" i="2"/>
  <c r="T178" i="2"/>
  <c r="U178" i="2"/>
  <c r="V178" i="2"/>
  <c r="W178" i="2"/>
  <c r="S179" i="2"/>
  <c r="T179" i="2"/>
  <c r="U179" i="2"/>
  <c r="V179" i="2"/>
  <c r="W179" i="2"/>
  <c r="S180" i="2"/>
  <c r="T180" i="2"/>
  <c r="U180" i="2"/>
  <c r="V180" i="2"/>
  <c r="W180" i="2"/>
  <c r="S181" i="2"/>
  <c r="T181" i="2"/>
  <c r="U181" i="2"/>
  <c r="V181" i="2"/>
  <c r="W181" i="2"/>
  <c r="S182" i="2"/>
  <c r="T182" i="2"/>
  <c r="U182" i="2"/>
  <c r="V182" i="2"/>
  <c r="W182" i="2"/>
  <c r="S183" i="2"/>
  <c r="T183" i="2"/>
  <c r="U183" i="2"/>
  <c r="V183" i="2"/>
  <c r="W183" i="2"/>
  <c r="S184" i="2"/>
  <c r="T184" i="2"/>
  <c r="U184" i="2"/>
  <c r="V184" i="2"/>
  <c r="W184" i="2"/>
  <c r="S185" i="2"/>
  <c r="T185" i="2"/>
  <c r="U185" i="2"/>
  <c r="V185" i="2"/>
  <c r="W185" i="2"/>
  <c r="S186" i="2"/>
  <c r="T186" i="2"/>
  <c r="U186" i="2"/>
  <c r="V186" i="2"/>
  <c r="W186" i="2"/>
  <c r="S187" i="2"/>
  <c r="T187" i="2"/>
  <c r="U187" i="2"/>
  <c r="V187" i="2"/>
  <c r="W187" i="2"/>
  <c r="S188" i="2"/>
  <c r="T188" i="2"/>
  <c r="U188" i="2"/>
  <c r="V188" i="2"/>
  <c r="W188" i="2"/>
  <c r="S189" i="2"/>
  <c r="T189" i="2"/>
  <c r="U189" i="2"/>
  <c r="V189" i="2"/>
  <c r="W189" i="2"/>
  <c r="S190" i="2"/>
  <c r="T190" i="2"/>
  <c r="U190" i="2"/>
  <c r="V190" i="2"/>
  <c r="W190" i="2"/>
  <c r="S191" i="2"/>
  <c r="T191" i="2"/>
  <c r="U191" i="2"/>
  <c r="V191" i="2"/>
  <c r="W191" i="2"/>
  <c r="S192" i="2"/>
  <c r="T192" i="2"/>
  <c r="U192" i="2"/>
  <c r="V192" i="2"/>
  <c r="W192" i="2"/>
  <c r="S193" i="2"/>
  <c r="T193" i="2"/>
  <c r="U193" i="2"/>
  <c r="V193" i="2"/>
  <c r="W193" i="2"/>
  <c r="S194" i="2"/>
  <c r="T194" i="2"/>
  <c r="U194" i="2"/>
  <c r="V194" i="2"/>
  <c r="W194" i="2"/>
  <c r="S195" i="2"/>
  <c r="T195" i="2"/>
  <c r="U195" i="2"/>
  <c r="V195" i="2"/>
  <c r="W195" i="2"/>
  <c r="S196" i="2"/>
  <c r="T196" i="2"/>
  <c r="U196" i="2"/>
  <c r="V196" i="2"/>
  <c r="W196" i="2"/>
  <c r="S197" i="2"/>
  <c r="T197" i="2"/>
  <c r="U197" i="2"/>
  <c r="V197" i="2"/>
  <c r="W197" i="2"/>
  <c r="S198" i="2"/>
  <c r="T198" i="2"/>
  <c r="U198" i="2"/>
  <c r="V198" i="2"/>
  <c r="W198" i="2"/>
  <c r="S199" i="2"/>
  <c r="T199" i="2"/>
  <c r="U199" i="2"/>
  <c r="V199" i="2"/>
  <c r="W199" i="2"/>
  <c r="S200" i="2"/>
  <c r="T200" i="2"/>
  <c r="U200" i="2"/>
  <c r="V200" i="2"/>
  <c r="W200" i="2"/>
  <c r="S201" i="2"/>
  <c r="T201" i="2"/>
  <c r="U201" i="2"/>
  <c r="V201" i="2"/>
  <c r="W201" i="2"/>
  <c r="S202" i="2"/>
  <c r="T202" i="2"/>
  <c r="U202" i="2"/>
  <c r="V202" i="2"/>
  <c r="W202" i="2"/>
  <c r="S203" i="2"/>
  <c r="T203" i="2"/>
  <c r="U203" i="2"/>
  <c r="V203" i="2"/>
  <c r="W203" i="2"/>
  <c r="S204" i="2"/>
  <c r="T204" i="2"/>
  <c r="U204" i="2"/>
  <c r="V204" i="2"/>
  <c r="W204" i="2"/>
  <c r="S205" i="2"/>
  <c r="T205" i="2"/>
  <c r="U205" i="2"/>
  <c r="V205" i="2"/>
  <c r="W205" i="2"/>
  <c r="S206" i="2"/>
  <c r="T206" i="2"/>
  <c r="U206" i="2"/>
  <c r="V206" i="2"/>
  <c r="W206" i="2"/>
  <c r="S207" i="2"/>
  <c r="T207" i="2"/>
  <c r="U207" i="2"/>
  <c r="V207" i="2"/>
  <c r="W207" i="2"/>
  <c r="S208" i="2"/>
  <c r="T208" i="2"/>
  <c r="U208" i="2"/>
  <c r="V208" i="2"/>
  <c r="W208" i="2"/>
  <c r="S209" i="2"/>
  <c r="T209" i="2"/>
  <c r="U209" i="2"/>
  <c r="V209" i="2"/>
  <c r="W209" i="2"/>
  <c r="S210" i="2"/>
  <c r="T210" i="2"/>
  <c r="U210" i="2"/>
  <c r="V210" i="2"/>
  <c r="W210" i="2"/>
  <c r="S211" i="2"/>
  <c r="T211" i="2"/>
  <c r="U211" i="2"/>
  <c r="V211" i="2"/>
  <c r="W211" i="2"/>
  <c r="S212" i="2"/>
  <c r="T212" i="2"/>
  <c r="U212" i="2"/>
  <c r="V212" i="2"/>
  <c r="W212" i="2"/>
  <c r="S213" i="2"/>
  <c r="T213" i="2"/>
  <c r="U213" i="2"/>
  <c r="V213" i="2"/>
  <c r="W213" i="2"/>
  <c r="S214" i="2"/>
  <c r="T214" i="2"/>
  <c r="U214" i="2"/>
  <c r="V214" i="2"/>
  <c r="W214" i="2"/>
  <c r="S215" i="2"/>
  <c r="T215" i="2"/>
  <c r="U215" i="2"/>
  <c r="V215" i="2"/>
  <c r="W215" i="2"/>
  <c r="S216" i="2"/>
  <c r="T216" i="2"/>
  <c r="U216" i="2"/>
  <c r="V216" i="2"/>
  <c r="W216" i="2"/>
  <c r="S217" i="2"/>
  <c r="T217" i="2"/>
  <c r="U217" i="2"/>
  <c r="V217" i="2"/>
  <c r="W217" i="2"/>
  <c r="S218" i="2"/>
  <c r="T218" i="2"/>
  <c r="U218" i="2"/>
  <c r="V218" i="2"/>
  <c r="W218" i="2"/>
  <c r="S219" i="2"/>
  <c r="T219" i="2"/>
  <c r="U219" i="2"/>
  <c r="V219" i="2"/>
  <c r="W219" i="2"/>
  <c r="S220" i="2"/>
  <c r="T220" i="2"/>
  <c r="U220" i="2"/>
  <c r="V220" i="2"/>
  <c r="W220" i="2"/>
  <c r="S221" i="2"/>
  <c r="T221" i="2"/>
  <c r="U221" i="2"/>
  <c r="V221" i="2"/>
  <c r="W221" i="2"/>
  <c r="S222" i="2"/>
  <c r="T222" i="2"/>
  <c r="U222" i="2"/>
  <c r="V222" i="2"/>
  <c r="W222" i="2"/>
  <c r="S223" i="2"/>
  <c r="T223" i="2"/>
  <c r="U223" i="2"/>
  <c r="V223" i="2"/>
  <c r="W223" i="2"/>
  <c r="S224" i="2"/>
  <c r="T224" i="2"/>
  <c r="U224" i="2"/>
  <c r="V224" i="2"/>
  <c r="W224" i="2"/>
  <c r="S225" i="2"/>
  <c r="T225" i="2"/>
  <c r="U225" i="2"/>
  <c r="V225" i="2"/>
  <c r="W225" i="2"/>
  <c r="S226" i="2"/>
  <c r="T226" i="2"/>
  <c r="U226" i="2"/>
  <c r="V226" i="2"/>
  <c r="W226" i="2"/>
  <c r="S227" i="2"/>
  <c r="T227" i="2"/>
  <c r="U227" i="2"/>
  <c r="V227" i="2"/>
  <c r="W227" i="2"/>
  <c r="S228" i="2"/>
  <c r="T228" i="2"/>
  <c r="U228" i="2"/>
  <c r="V228" i="2"/>
  <c r="W228" i="2"/>
  <c r="S229" i="2"/>
  <c r="T229" i="2"/>
  <c r="U229" i="2"/>
  <c r="V229" i="2"/>
  <c r="W229" i="2"/>
  <c r="S230" i="2"/>
  <c r="T230" i="2"/>
  <c r="U230" i="2"/>
  <c r="V230" i="2"/>
  <c r="W230" i="2"/>
  <c r="S231" i="2"/>
  <c r="T231" i="2"/>
  <c r="U231" i="2"/>
  <c r="V231" i="2"/>
  <c r="W231" i="2"/>
  <c r="S232" i="2"/>
  <c r="T232" i="2"/>
  <c r="U232" i="2"/>
  <c r="V232" i="2"/>
  <c r="W232" i="2"/>
  <c r="S233" i="2"/>
  <c r="T233" i="2"/>
  <c r="U233" i="2"/>
  <c r="V233" i="2"/>
  <c r="W233" i="2"/>
  <c r="S234" i="2"/>
  <c r="T234" i="2"/>
  <c r="U234" i="2"/>
  <c r="V234" i="2"/>
  <c r="W234" i="2"/>
  <c r="S235" i="2"/>
  <c r="T235" i="2"/>
  <c r="U235" i="2"/>
  <c r="V235" i="2"/>
  <c r="W235" i="2"/>
  <c r="S236" i="2"/>
  <c r="T236" i="2"/>
  <c r="U236" i="2"/>
  <c r="V236" i="2"/>
  <c r="W236" i="2"/>
  <c r="S237" i="2"/>
  <c r="T237" i="2"/>
  <c r="U237" i="2"/>
  <c r="V237" i="2"/>
  <c r="W237" i="2"/>
  <c r="S238" i="2"/>
  <c r="T238" i="2"/>
  <c r="U238" i="2"/>
  <c r="V238" i="2"/>
  <c r="W238" i="2"/>
  <c r="S239" i="2"/>
  <c r="T239" i="2"/>
  <c r="U239" i="2"/>
  <c r="V239" i="2"/>
  <c r="W239" i="2"/>
  <c r="S240" i="2"/>
  <c r="T240" i="2"/>
  <c r="U240" i="2"/>
  <c r="V240" i="2"/>
  <c r="W240" i="2"/>
  <c r="S241" i="2"/>
  <c r="T241" i="2"/>
  <c r="U241" i="2"/>
  <c r="V241" i="2"/>
  <c r="W241" i="2"/>
  <c r="S242" i="2"/>
  <c r="T242" i="2"/>
  <c r="U242" i="2"/>
  <c r="V242" i="2"/>
  <c r="W242" i="2"/>
  <c r="S243" i="2"/>
  <c r="T243" i="2"/>
  <c r="U243" i="2"/>
  <c r="V243" i="2"/>
  <c r="W243" i="2"/>
  <c r="S244" i="2"/>
  <c r="T244" i="2"/>
  <c r="U244" i="2"/>
  <c r="V244" i="2"/>
  <c r="W244" i="2"/>
  <c r="S245" i="2"/>
  <c r="T245" i="2"/>
  <c r="U245" i="2"/>
  <c r="V245" i="2"/>
  <c r="W245" i="2"/>
  <c r="S246" i="2"/>
  <c r="T246" i="2"/>
  <c r="U246" i="2"/>
  <c r="V246" i="2"/>
  <c r="W246" i="2"/>
  <c r="S247" i="2"/>
  <c r="T247" i="2"/>
  <c r="U247" i="2"/>
  <c r="V247" i="2"/>
  <c r="W247" i="2"/>
  <c r="S248" i="2"/>
  <c r="T248" i="2"/>
  <c r="U248" i="2"/>
  <c r="V248" i="2"/>
  <c r="W248" i="2"/>
  <c r="S249" i="2"/>
  <c r="T249" i="2"/>
  <c r="U249" i="2"/>
  <c r="V249" i="2"/>
  <c r="W249" i="2"/>
  <c r="S250" i="2"/>
  <c r="T250" i="2"/>
  <c r="U250" i="2"/>
  <c r="V250" i="2"/>
  <c r="W250" i="2"/>
  <c r="S251" i="2"/>
  <c r="T251" i="2"/>
  <c r="U251" i="2"/>
  <c r="V251" i="2"/>
  <c r="W251" i="2"/>
  <c r="S252" i="2"/>
  <c r="T252" i="2"/>
  <c r="U252" i="2"/>
  <c r="V252" i="2"/>
  <c r="W252" i="2"/>
  <c r="S253" i="2"/>
  <c r="T253" i="2"/>
  <c r="U253" i="2"/>
  <c r="V253" i="2"/>
  <c r="W253" i="2"/>
  <c r="S254" i="2"/>
  <c r="T254" i="2"/>
  <c r="U254" i="2"/>
  <c r="V254" i="2"/>
  <c r="W254" i="2"/>
  <c r="S255" i="2"/>
  <c r="T255" i="2"/>
  <c r="U255" i="2"/>
  <c r="V255" i="2"/>
  <c r="W255" i="2"/>
  <c r="S256" i="2"/>
  <c r="T256" i="2"/>
  <c r="U256" i="2"/>
  <c r="V256" i="2"/>
  <c r="W256" i="2"/>
  <c r="S257" i="2"/>
  <c r="T257" i="2"/>
  <c r="U257" i="2"/>
  <c r="V257" i="2"/>
  <c r="W257" i="2"/>
  <c r="S258" i="2"/>
  <c r="T258" i="2"/>
  <c r="U258" i="2"/>
  <c r="V258" i="2"/>
  <c r="W258" i="2"/>
  <c r="S259" i="2"/>
  <c r="T259" i="2"/>
  <c r="U259" i="2"/>
  <c r="V259" i="2"/>
  <c r="W259" i="2"/>
  <c r="S260" i="2"/>
  <c r="T260" i="2"/>
  <c r="U260" i="2"/>
  <c r="V260" i="2"/>
  <c r="W260" i="2"/>
  <c r="S261" i="2"/>
  <c r="T261" i="2"/>
  <c r="U261" i="2"/>
  <c r="V261" i="2"/>
  <c r="W261" i="2"/>
  <c r="S262" i="2"/>
  <c r="T262" i="2"/>
  <c r="U262" i="2"/>
  <c r="V262" i="2"/>
  <c r="W262" i="2"/>
  <c r="S263" i="2"/>
  <c r="T263" i="2"/>
  <c r="U263" i="2"/>
  <c r="V263" i="2"/>
  <c r="W263" i="2"/>
  <c r="S264" i="2"/>
  <c r="T264" i="2"/>
  <c r="U264" i="2"/>
  <c r="V264" i="2"/>
  <c r="W264" i="2"/>
  <c r="S265" i="2"/>
  <c r="T265" i="2"/>
  <c r="U265" i="2"/>
  <c r="V265" i="2"/>
  <c r="W265" i="2"/>
  <c r="S266" i="2"/>
  <c r="T266" i="2"/>
  <c r="U266" i="2"/>
  <c r="V266" i="2"/>
  <c r="W266" i="2"/>
  <c r="S267" i="2"/>
  <c r="T267" i="2"/>
  <c r="U267" i="2"/>
  <c r="V267" i="2"/>
  <c r="W267" i="2"/>
  <c r="S268" i="2"/>
  <c r="T268" i="2"/>
  <c r="U268" i="2"/>
  <c r="V268" i="2"/>
  <c r="W268" i="2"/>
  <c r="S269" i="2"/>
  <c r="T269" i="2"/>
  <c r="U269" i="2"/>
  <c r="V269" i="2"/>
  <c r="W269" i="2"/>
  <c r="S270" i="2"/>
  <c r="T270" i="2"/>
  <c r="U270" i="2"/>
  <c r="V270" i="2"/>
  <c r="W270" i="2"/>
  <c r="S271" i="2"/>
  <c r="T271" i="2"/>
  <c r="U271" i="2"/>
  <c r="V271" i="2"/>
  <c r="W271" i="2"/>
  <c r="S272" i="2"/>
  <c r="T272" i="2"/>
  <c r="U272" i="2"/>
  <c r="V272" i="2"/>
  <c r="W272" i="2"/>
  <c r="S273" i="2"/>
  <c r="T273" i="2"/>
  <c r="U273" i="2"/>
  <c r="V273" i="2"/>
  <c r="W273" i="2"/>
  <c r="S274" i="2"/>
  <c r="T274" i="2"/>
  <c r="U274" i="2"/>
  <c r="V274" i="2"/>
  <c r="W274" i="2"/>
  <c r="S275" i="2"/>
  <c r="T275" i="2"/>
  <c r="U275" i="2"/>
  <c r="V275" i="2"/>
  <c r="W275" i="2"/>
  <c r="S276" i="2"/>
  <c r="T276" i="2"/>
  <c r="U276" i="2"/>
  <c r="V276" i="2"/>
  <c r="W276" i="2"/>
  <c r="S277" i="2"/>
  <c r="T277" i="2"/>
  <c r="U277" i="2"/>
  <c r="V277" i="2"/>
  <c r="W277" i="2"/>
  <c r="S278" i="2"/>
  <c r="T278" i="2"/>
  <c r="U278" i="2"/>
  <c r="V278" i="2"/>
  <c r="W278" i="2"/>
  <c r="S279" i="2"/>
  <c r="T279" i="2"/>
  <c r="U279" i="2"/>
  <c r="V279" i="2"/>
  <c r="W279" i="2"/>
  <c r="S280" i="2"/>
  <c r="T280" i="2"/>
  <c r="U280" i="2"/>
  <c r="V280" i="2"/>
  <c r="W280" i="2"/>
  <c r="S281" i="2"/>
  <c r="T281" i="2"/>
  <c r="U281" i="2"/>
  <c r="V281" i="2"/>
  <c r="W281" i="2"/>
  <c r="S282" i="2"/>
  <c r="T282" i="2"/>
  <c r="U282" i="2"/>
  <c r="V282" i="2"/>
  <c r="W282" i="2"/>
  <c r="S283" i="2"/>
  <c r="T283" i="2"/>
  <c r="U283" i="2"/>
  <c r="V283" i="2"/>
  <c r="W283" i="2"/>
  <c r="S284" i="2"/>
  <c r="T284" i="2"/>
  <c r="U284" i="2"/>
  <c r="V284" i="2"/>
  <c r="W284" i="2"/>
  <c r="S285" i="2"/>
  <c r="T285" i="2"/>
  <c r="U285" i="2"/>
  <c r="V285" i="2"/>
  <c r="W285" i="2"/>
  <c r="S286" i="2"/>
  <c r="T286" i="2"/>
  <c r="U286" i="2"/>
  <c r="V286" i="2"/>
  <c r="W286" i="2"/>
  <c r="S287" i="2"/>
  <c r="T287" i="2"/>
  <c r="U287" i="2"/>
  <c r="V287" i="2"/>
  <c r="W287" i="2"/>
  <c r="S288" i="2"/>
  <c r="T288" i="2"/>
  <c r="U288" i="2"/>
  <c r="V288" i="2"/>
  <c r="W288" i="2"/>
  <c r="S289" i="2"/>
  <c r="T289" i="2"/>
  <c r="U289" i="2"/>
  <c r="V289" i="2"/>
  <c r="W289" i="2"/>
  <c r="T2" i="2"/>
  <c r="U2" i="2"/>
  <c r="V2" i="2"/>
  <c r="W2" i="2"/>
  <c r="S2" i="2"/>
</calcChain>
</file>

<file path=xl/sharedStrings.xml><?xml version="1.0" encoding="utf-8"?>
<sst xmlns="http://schemas.openxmlformats.org/spreadsheetml/2006/main" count="46" uniqueCount="22">
  <si>
    <t>mod.conVAVSou.VDis_flow</t>
  </si>
  <si>
    <t>mod.conVAVEas.VDis_flow</t>
  </si>
  <si>
    <t>mod.conVAVNor.VDis_flow</t>
  </si>
  <si>
    <t>mod.conVAVWes.VDis_flow</t>
  </si>
  <si>
    <t>mod.conVAVCor.VDis_flow</t>
  </si>
  <si>
    <t>mod.fanSup.VMachine_flow</t>
  </si>
  <si>
    <t>mod.flo.temAirSou.T</t>
  </si>
  <si>
    <t>mod.flo.temAirEas.T</t>
  </si>
  <si>
    <t>mod.flo.temAirNor.T</t>
  </si>
  <si>
    <t>mod.flo.temAirWes.T</t>
  </si>
  <si>
    <t>mod.flo.temAirPer5.T</t>
  </si>
  <si>
    <t>mod.TOut.y</t>
  </si>
  <si>
    <t>mod.oveRelHumOutAir.y</t>
  </si>
  <si>
    <t>total_power</t>
  </si>
  <si>
    <t>Power (kW)</t>
  </si>
  <si>
    <t>Cooling setpoint</t>
  </si>
  <si>
    <t>Tsou</t>
  </si>
  <si>
    <t>Teas</t>
  </si>
  <si>
    <t>Tnor</t>
  </si>
  <si>
    <t>Twes</t>
  </si>
  <si>
    <t>Tcor</t>
  </si>
  <si>
    <t>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</si>
</sst>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 Temprature Measurement Uder Core Zone Attack </a:t>
            </a:r>
            <a:r>
              <a:rPr lang="en-US" b="1"/>
              <a:t>without Compensator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'without compensator'!$R$1</c:f>
              <c:strCache>
                <c:ptCount val="1"/>
                <c:pt idx="0">
                  <c:v>Cooling 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'without compensator'!$R$2:$R$289</c:f>
              <c:numCache>
                <c:formatCode>General</c:formatCode>
                <c:ptCount val="28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A-41B7-A8B3-380540233940}"/>
            </c:ext>
          </c:extLst>
        </c:ser>
        <c:ser>
          <c:idx val="1"/>
          <c:order val="1"/>
          <c:tx>
            <c:strRef>
              <c:f>'without compensator'!$S$1</c:f>
              <c:strCache>
                <c:ptCount val="1"/>
                <c:pt idx="0">
                  <c:v>Tsou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'without compensator'!$S$2:$S$289</c:f>
              <c:numCache>
                <c:formatCode>General</c:formatCode>
                <c:ptCount val="288"/>
                <c:pt idx="0">
                  <c:v>24</c:v>
                </c:pt>
                <c:pt idx="1">
                  <c:v>23.720311598785031</c:v>
                </c:pt>
                <c:pt idx="2">
                  <c:v>23.781726182325031</c:v>
                </c:pt>
                <c:pt idx="3">
                  <c:v>23.876480165204043</c:v>
                </c:pt>
                <c:pt idx="4">
                  <c:v>23.901016548897019</c:v>
                </c:pt>
                <c:pt idx="5">
                  <c:v>23.906538058981027</c:v>
                </c:pt>
                <c:pt idx="6">
                  <c:v>23.82623308798901</c:v>
                </c:pt>
                <c:pt idx="7">
                  <c:v>23.868777517684009</c:v>
                </c:pt>
                <c:pt idx="8">
                  <c:v>23.874762624262019</c:v>
                </c:pt>
                <c:pt idx="9">
                  <c:v>23.861233996772</c:v>
                </c:pt>
                <c:pt idx="10">
                  <c:v>23.849775351118012</c:v>
                </c:pt>
                <c:pt idx="11">
                  <c:v>23.840420937814997</c:v>
                </c:pt>
                <c:pt idx="12">
                  <c:v>23.832419056250046</c:v>
                </c:pt>
                <c:pt idx="13">
                  <c:v>23.825205106696046</c:v>
                </c:pt>
                <c:pt idx="14">
                  <c:v>23.816443866035002</c:v>
                </c:pt>
                <c:pt idx="15">
                  <c:v>23.805460254028048</c:v>
                </c:pt>
                <c:pt idx="16">
                  <c:v>23.793410671029051</c:v>
                </c:pt>
                <c:pt idx="17">
                  <c:v>23.779064572765037</c:v>
                </c:pt>
                <c:pt idx="18">
                  <c:v>23.689723078336044</c:v>
                </c:pt>
                <c:pt idx="19">
                  <c:v>23.74626703477503</c:v>
                </c:pt>
                <c:pt idx="20">
                  <c:v>23.752229921408002</c:v>
                </c:pt>
                <c:pt idx="21">
                  <c:v>23.753002830738012</c:v>
                </c:pt>
                <c:pt idx="22">
                  <c:v>23.713445001276</c:v>
                </c:pt>
                <c:pt idx="23">
                  <c:v>23.751443690966028</c:v>
                </c:pt>
                <c:pt idx="24">
                  <c:v>23.786392028869045</c:v>
                </c:pt>
                <c:pt idx="25">
                  <c:v>23.809010265015047</c:v>
                </c:pt>
                <c:pt idx="26">
                  <c:v>23.831914007324997</c:v>
                </c:pt>
                <c:pt idx="27">
                  <c:v>23.860516919499048</c:v>
                </c:pt>
                <c:pt idx="28">
                  <c:v>23.903611225493023</c:v>
                </c:pt>
                <c:pt idx="29">
                  <c:v>23.626296044665025</c:v>
                </c:pt>
                <c:pt idx="30">
                  <c:v>23.408744338999043</c:v>
                </c:pt>
                <c:pt idx="31">
                  <c:v>23.11609049823204</c:v>
                </c:pt>
                <c:pt idx="32">
                  <c:v>22.964658427486995</c:v>
                </c:pt>
                <c:pt idx="33">
                  <c:v>22.989945027364001</c:v>
                </c:pt>
                <c:pt idx="34">
                  <c:v>23.091219595767029</c:v>
                </c:pt>
                <c:pt idx="35">
                  <c:v>23.215146889750997</c:v>
                </c:pt>
                <c:pt idx="36">
                  <c:v>23.380939744675004</c:v>
                </c:pt>
                <c:pt idx="37">
                  <c:v>23.488184108836037</c:v>
                </c:pt>
                <c:pt idx="38">
                  <c:v>23.57093035945104</c:v>
                </c:pt>
                <c:pt idx="39">
                  <c:v>23.643175557560028</c:v>
                </c:pt>
                <c:pt idx="40">
                  <c:v>23.710413896491048</c:v>
                </c:pt>
                <c:pt idx="41">
                  <c:v>23.783634211750041</c:v>
                </c:pt>
                <c:pt idx="42">
                  <c:v>23.848385682637002</c:v>
                </c:pt>
                <c:pt idx="43">
                  <c:v>23.910407256998042</c:v>
                </c:pt>
                <c:pt idx="44">
                  <c:v>23.971782615205996</c:v>
                </c:pt>
                <c:pt idx="45">
                  <c:v>24.038518892582033</c:v>
                </c:pt>
                <c:pt idx="46">
                  <c:v>24.087694706939999</c:v>
                </c:pt>
                <c:pt idx="47">
                  <c:v>24.148775470880025</c:v>
                </c:pt>
                <c:pt idx="48">
                  <c:v>24.198784730191051</c:v>
                </c:pt>
                <c:pt idx="49">
                  <c:v>24.185985625455999</c:v>
                </c:pt>
                <c:pt idx="50">
                  <c:v>24.224578053194023</c:v>
                </c:pt>
                <c:pt idx="51">
                  <c:v>24.254687439806048</c:v>
                </c:pt>
                <c:pt idx="52">
                  <c:v>24.272397857404997</c:v>
                </c:pt>
                <c:pt idx="53">
                  <c:v>24.403906664839042</c:v>
                </c:pt>
                <c:pt idx="54">
                  <c:v>24.426070081515036</c:v>
                </c:pt>
                <c:pt idx="55">
                  <c:v>24.449202973170031</c:v>
                </c:pt>
                <c:pt idx="56">
                  <c:v>24.476742916476042</c:v>
                </c:pt>
                <c:pt idx="57">
                  <c:v>24.496384682175005</c:v>
                </c:pt>
                <c:pt idx="58">
                  <c:v>24.507225233630038</c:v>
                </c:pt>
                <c:pt idx="59">
                  <c:v>24.522256031345023</c:v>
                </c:pt>
                <c:pt idx="60">
                  <c:v>24.528094408229038</c:v>
                </c:pt>
                <c:pt idx="61">
                  <c:v>24.536813529725009</c:v>
                </c:pt>
                <c:pt idx="62">
                  <c:v>24.552074717166022</c:v>
                </c:pt>
                <c:pt idx="63">
                  <c:v>24.545103213847995</c:v>
                </c:pt>
                <c:pt idx="64">
                  <c:v>24.533534198830012</c:v>
                </c:pt>
                <c:pt idx="65">
                  <c:v>24.535825195117013</c:v>
                </c:pt>
                <c:pt idx="66">
                  <c:v>24.529840993757034</c:v>
                </c:pt>
                <c:pt idx="67">
                  <c:v>24.516659444108996</c:v>
                </c:pt>
                <c:pt idx="68">
                  <c:v>24.520015981569031</c:v>
                </c:pt>
                <c:pt idx="69">
                  <c:v>24.454384377622034</c:v>
                </c:pt>
                <c:pt idx="70">
                  <c:v>24.372771613129032</c:v>
                </c:pt>
                <c:pt idx="71">
                  <c:v>24.282935574795999</c:v>
                </c:pt>
                <c:pt idx="72">
                  <c:v>24.188506797753007</c:v>
                </c:pt>
                <c:pt idx="73">
                  <c:v>24.080029849500022</c:v>
                </c:pt>
                <c:pt idx="74">
                  <c:v>23.968739537887018</c:v>
                </c:pt>
                <c:pt idx="75">
                  <c:v>23.862278780498002</c:v>
                </c:pt>
                <c:pt idx="76">
                  <c:v>23.745827379592015</c:v>
                </c:pt>
                <c:pt idx="77">
                  <c:v>24.81045286498005</c:v>
                </c:pt>
                <c:pt idx="78">
                  <c:v>24.971922888378003</c:v>
                </c:pt>
                <c:pt idx="79">
                  <c:v>25.003385497751026</c:v>
                </c:pt>
                <c:pt idx="80">
                  <c:v>25.00506783778701</c:v>
                </c:pt>
                <c:pt idx="81">
                  <c:v>25.063769201723005</c:v>
                </c:pt>
                <c:pt idx="82">
                  <c:v>25.069396647084034</c:v>
                </c:pt>
                <c:pt idx="83">
                  <c:v>25.067834709996021</c:v>
                </c:pt>
                <c:pt idx="84">
                  <c:v>25.061531102480046</c:v>
                </c:pt>
                <c:pt idx="85">
                  <c:v>25.044798711555018</c:v>
                </c:pt>
                <c:pt idx="86">
                  <c:v>25.015630961558031</c:v>
                </c:pt>
                <c:pt idx="87">
                  <c:v>24.990264448026039</c:v>
                </c:pt>
                <c:pt idx="88">
                  <c:v>24.97283821954602</c:v>
                </c:pt>
                <c:pt idx="89">
                  <c:v>24.951474768133039</c:v>
                </c:pt>
                <c:pt idx="90">
                  <c:v>24.944633541128042</c:v>
                </c:pt>
                <c:pt idx="91">
                  <c:v>24.933791868795026</c:v>
                </c:pt>
                <c:pt idx="92">
                  <c:v>24.918705898337009</c:v>
                </c:pt>
                <c:pt idx="93">
                  <c:v>24.902975653408021</c:v>
                </c:pt>
                <c:pt idx="94">
                  <c:v>24.886806793594019</c:v>
                </c:pt>
                <c:pt idx="95">
                  <c:v>24.841954165656034</c:v>
                </c:pt>
                <c:pt idx="96">
                  <c:v>24.825600569913036</c:v>
                </c:pt>
                <c:pt idx="97">
                  <c:v>24.811914322423036</c:v>
                </c:pt>
                <c:pt idx="98">
                  <c:v>24.797701700033031</c:v>
                </c:pt>
                <c:pt idx="99">
                  <c:v>24.782198814067044</c:v>
                </c:pt>
                <c:pt idx="100">
                  <c:v>24.764426319539041</c:v>
                </c:pt>
                <c:pt idx="101">
                  <c:v>24.744121719701013</c:v>
                </c:pt>
                <c:pt idx="102">
                  <c:v>24.722567207975032</c:v>
                </c:pt>
                <c:pt idx="103">
                  <c:v>24.701403016453014</c:v>
                </c:pt>
                <c:pt idx="104">
                  <c:v>24.682111185048029</c:v>
                </c:pt>
                <c:pt idx="105">
                  <c:v>24.662944345657024</c:v>
                </c:pt>
                <c:pt idx="106">
                  <c:v>24.642054200024006</c:v>
                </c:pt>
                <c:pt idx="107">
                  <c:v>24.623588189949999</c:v>
                </c:pt>
                <c:pt idx="108">
                  <c:v>24.608908559627025</c:v>
                </c:pt>
                <c:pt idx="109">
                  <c:v>24.595067689287021</c:v>
                </c:pt>
                <c:pt idx="110">
                  <c:v>24.579006286020046</c:v>
                </c:pt>
                <c:pt idx="111">
                  <c:v>24.562863240444017</c:v>
                </c:pt>
                <c:pt idx="112">
                  <c:v>24.551640484231029</c:v>
                </c:pt>
                <c:pt idx="113">
                  <c:v>24.550144464527023</c:v>
                </c:pt>
                <c:pt idx="114">
                  <c:v>24.600315630333</c:v>
                </c:pt>
                <c:pt idx="115">
                  <c:v>24.608250918411045</c:v>
                </c:pt>
                <c:pt idx="116">
                  <c:v>24.608546283419003</c:v>
                </c:pt>
                <c:pt idx="117">
                  <c:v>24.611617161677998</c:v>
                </c:pt>
                <c:pt idx="118">
                  <c:v>24.61743752808502</c:v>
                </c:pt>
                <c:pt idx="119">
                  <c:v>24.626154860613042</c:v>
                </c:pt>
                <c:pt idx="120">
                  <c:v>24.640018138659002</c:v>
                </c:pt>
                <c:pt idx="121">
                  <c:v>24.661875499629048</c:v>
                </c:pt>
                <c:pt idx="122">
                  <c:v>24.694887793778037</c:v>
                </c:pt>
                <c:pt idx="123">
                  <c:v>24.735822391464012</c:v>
                </c:pt>
                <c:pt idx="124">
                  <c:v>24.780840270535009</c:v>
                </c:pt>
                <c:pt idx="125">
                  <c:v>24.450279527387011</c:v>
                </c:pt>
                <c:pt idx="126">
                  <c:v>24.106545694483032</c:v>
                </c:pt>
                <c:pt idx="127">
                  <c:v>23.753365741055006</c:v>
                </c:pt>
                <c:pt idx="128">
                  <c:v>23.574631642548013</c:v>
                </c:pt>
                <c:pt idx="129">
                  <c:v>23.597743286563002</c:v>
                </c:pt>
                <c:pt idx="130">
                  <c:v>23.703956544801031</c:v>
                </c:pt>
                <c:pt idx="131">
                  <c:v>23.835867412145035</c:v>
                </c:pt>
                <c:pt idx="132">
                  <c:v>24.008962441337019</c:v>
                </c:pt>
                <c:pt idx="133">
                  <c:v>24.115558675578995</c:v>
                </c:pt>
                <c:pt idx="134">
                  <c:v>24.188595933583997</c:v>
                </c:pt>
                <c:pt idx="135">
                  <c:v>24.250109516618011</c:v>
                </c:pt>
                <c:pt idx="136">
                  <c:v>24.315167209270044</c:v>
                </c:pt>
                <c:pt idx="137">
                  <c:v>24.374518256282045</c:v>
                </c:pt>
                <c:pt idx="138">
                  <c:v>24.441253375112012</c:v>
                </c:pt>
                <c:pt idx="139">
                  <c:v>24.501665621307041</c:v>
                </c:pt>
                <c:pt idx="140">
                  <c:v>24.563434688574034</c:v>
                </c:pt>
                <c:pt idx="141">
                  <c:v>24.623743782670999</c:v>
                </c:pt>
                <c:pt idx="142">
                  <c:v>24.671468412632009</c:v>
                </c:pt>
                <c:pt idx="143">
                  <c:v>24.725781078451007</c:v>
                </c:pt>
                <c:pt idx="144">
                  <c:v>24.776042783354001</c:v>
                </c:pt>
                <c:pt idx="145">
                  <c:v>24.765834096345998</c:v>
                </c:pt>
                <c:pt idx="146">
                  <c:v>24.811134739162014</c:v>
                </c:pt>
                <c:pt idx="147">
                  <c:v>24.837906255326004</c:v>
                </c:pt>
                <c:pt idx="148">
                  <c:v>24.873581702265028</c:v>
                </c:pt>
                <c:pt idx="149">
                  <c:v>25.014821884921048</c:v>
                </c:pt>
                <c:pt idx="150">
                  <c:v>25.05801923930801</c:v>
                </c:pt>
                <c:pt idx="151">
                  <c:v>25.088948449272038</c:v>
                </c:pt>
                <c:pt idx="152">
                  <c:v>25.117998767593008</c:v>
                </c:pt>
                <c:pt idx="153">
                  <c:v>25.137140642439022</c:v>
                </c:pt>
                <c:pt idx="154">
                  <c:v>25.153331669182023</c:v>
                </c:pt>
                <c:pt idx="155">
                  <c:v>25.161186839555</c:v>
                </c:pt>
                <c:pt idx="156">
                  <c:v>25.167513709350033</c:v>
                </c:pt>
                <c:pt idx="157">
                  <c:v>25.16602586091102</c:v>
                </c:pt>
                <c:pt idx="158">
                  <c:v>25.163747033506013</c:v>
                </c:pt>
                <c:pt idx="159">
                  <c:v>25.153441012718019</c:v>
                </c:pt>
                <c:pt idx="160">
                  <c:v>25.143499041144025</c:v>
                </c:pt>
                <c:pt idx="161">
                  <c:v>25.127613888270048</c:v>
                </c:pt>
                <c:pt idx="162">
                  <c:v>25.116601351740997</c:v>
                </c:pt>
                <c:pt idx="163">
                  <c:v>25.102459153721043</c:v>
                </c:pt>
                <c:pt idx="164">
                  <c:v>25.088708666897048</c:v>
                </c:pt>
                <c:pt idx="165">
                  <c:v>25.030632762416019</c:v>
                </c:pt>
                <c:pt idx="166">
                  <c:v>24.938065286107019</c:v>
                </c:pt>
                <c:pt idx="167">
                  <c:v>24.844569148460039</c:v>
                </c:pt>
                <c:pt idx="168">
                  <c:v>24.733458671026995</c:v>
                </c:pt>
                <c:pt idx="169">
                  <c:v>24.628176380053048</c:v>
                </c:pt>
                <c:pt idx="170">
                  <c:v>24.52114314001301</c:v>
                </c:pt>
                <c:pt idx="171">
                  <c:v>24.391539334143999</c:v>
                </c:pt>
                <c:pt idx="172">
                  <c:v>24.267654639857028</c:v>
                </c:pt>
                <c:pt idx="173">
                  <c:v>25.433945966117051</c:v>
                </c:pt>
                <c:pt idx="174">
                  <c:v>25.589476284021998</c:v>
                </c:pt>
                <c:pt idx="175">
                  <c:v>25.601099422429002</c:v>
                </c:pt>
                <c:pt idx="176">
                  <c:v>25.620355609625051</c:v>
                </c:pt>
                <c:pt idx="177">
                  <c:v>25.677544623489041</c:v>
                </c:pt>
                <c:pt idx="178">
                  <c:v>25.677065911785007</c:v>
                </c:pt>
                <c:pt idx="179">
                  <c:v>25.666002869348006</c:v>
                </c:pt>
                <c:pt idx="180">
                  <c:v>25.652974044073005</c:v>
                </c:pt>
                <c:pt idx="181">
                  <c:v>25.640487522298997</c:v>
                </c:pt>
                <c:pt idx="182">
                  <c:v>25.629612585065047</c:v>
                </c:pt>
                <c:pt idx="183">
                  <c:v>25.619251305315004</c:v>
                </c:pt>
                <c:pt idx="184">
                  <c:v>25.607480762142018</c:v>
                </c:pt>
                <c:pt idx="185">
                  <c:v>25.593551826875</c:v>
                </c:pt>
                <c:pt idx="186">
                  <c:v>25.579822255385011</c:v>
                </c:pt>
                <c:pt idx="187">
                  <c:v>25.566407854960005</c:v>
                </c:pt>
                <c:pt idx="188">
                  <c:v>25.552826383084039</c:v>
                </c:pt>
                <c:pt idx="189">
                  <c:v>25.538819684360021</c:v>
                </c:pt>
                <c:pt idx="190">
                  <c:v>25.524785377117041</c:v>
                </c:pt>
                <c:pt idx="191">
                  <c:v>25.510584944056006</c:v>
                </c:pt>
                <c:pt idx="192">
                  <c:v>25.495956927418035</c:v>
                </c:pt>
                <c:pt idx="193">
                  <c:v>25.481554313101014</c:v>
                </c:pt>
                <c:pt idx="194">
                  <c:v>25.467830439283034</c:v>
                </c:pt>
                <c:pt idx="195">
                  <c:v>25.454767854460044</c:v>
                </c:pt>
                <c:pt idx="196">
                  <c:v>25.442339179420003</c:v>
                </c:pt>
                <c:pt idx="197">
                  <c:v>25.431932816145036</c:v>
                </c:pt>
                <c:pt idx="198">
                  <c:v>25.425343474103045</c:v>
                </c:pt>
                <c:pt idx="199">
                  <c:v>25.420863800939003</c:v>
                </c:pt>
                <c:pt idx="200">
                  <c:v>25.416120481307019</c:v>
                </c:pt>
                <c:pt idx="201">
                  <c:v>25.406709568589008</c:v>
                </c:pt>
                <c:pt idx="202">
                  <c:v>25.389628578796021</c:v>
                </c:pt>
                <c:pt idx="203">
                  <c:v>25.368339744673051</c:v>
                </c:pt>
                <c:pt idx="204">
                  <c:v>25.348675925980046</c:v>
                </c:pt>
                <c:pt idx="205">
                  <c:v>25.336056954773028</c:v>
                </c:pt>
                <c:pt idx="206">
                  <c:v>25.331675175766009</c:v>
                </c:pt>
                <c:pt idx="207">
                  <c:v>25.331913749888031</c:v>
                </c:pt>
                <c:pt idx="208">
                  <c:v>25.330121626835023</c:v>
                </c:pt>
                <c:pt idx="209">
                  <c:v>25.322225263944006</c:v>
                </c:pt>
                <c:pt idx="210">
                  <c:v>25.311038795407001</c:v>
                </c:pt>
                <c:pt idx="211">
                  <c:v>25.299514442431018</c:v>
                </c:pt>
                <c:pt idx="212">
                  <c:v>25.292592229921013</c:v>
                </c:pt>
                <c:pt idx="213">
                  <c:v>25.295596529606996</c:v>
                </c:pt>
                <c:pt idx="214">
                  <c:v>25.309475015969042</c:v>
                </c:pt>
                <c:pt idx="215">
                  <c:v>25.330606315576006</c:v>
                </c:pt>
                <c:pt idx="216">
                  <c:v>25.355170775765998</c:v>
                </c:pt>
                <c:pt idx="217">
                  <c:v>25.382011101830017</c:v>
                </c:pt>
                <c:pt idx="218">
                  <c:v>25.414599712515042</c:v>
                </c:pt>
                <c:pt idx="219">
                  <c:v>25.453786076032998</c:v>
                </c:pt>
                <c:pt idx="220">
                  <c:v>25.496072803406037</c:v>
                </c:pt>
                <c:pt idx="221">
                  <c:v>25.126167930931047</c:v>
                </c:pt>
                <c:pt idx="222">
                  <c:v>24.758935779676051</c:v>
                </c:pt>
                <c:pt idx="223">
                  <c:v>24.378132577765996</c:v>
                </c:pt>
                <c:pt idx="224">
                  <c:v>24.182074087734009</c:v>
                </c:pt>
                <c:pt idx="225">
                  <c:v>24.208913872521009</c:v>
                </c:pt>
                <c:pt idx="226">
                  <c:v>24.294673287556009</c:v>
                </c:pt>
                <c:pt idx="227">
                  <c:v>24.407137576059029</c:v>
                </c:pt>
                <c:pt idx="228">
                  <c:v>24.564908012550006</c:v>
                </c:pt>
                <c:pt idx="229">
                  <c:v>24.660719953997045</c:v>
                </c:pt>
                <c:pt idx="230">
                  <c:v>24.723177203203022</c:v>
                </c:pt>
                <c:pt idx="231">
                  <c:v>24.776663272579015</c:v>
                </c:pt>
                <c:pt idx="232">
                  <c:v>24.841267052521005</c:v>
                </c:pt>
                <c:pt idx="233">
                  <c:v>24.901004078596998</c:v>
                </c:pt>
                <c:pt idx="234">
                  <c:v>24.954088511737041</c:v>
                </c:pt>
                <c:pt idx="235">
                  <c:v>25.013073231123997</c:v>
                </c:pt>
                <c:pt idx="236">
                  <c:v>25.074330596148002</c:v>
                </c:pt>
                <c:pt idx="237">
                  <c:v>25.112711115677996</c:v>
                </c:pt>
                <c:pt idx="238">
                  <c:v>25.15930339149503</c:v>
                </c:pt>
                <c:pt idx="239">
                  <c:v>25.19674498691603</c:v>
                </c:pt>
                <c:pt idx="240">
                  <c:v>25.237481423463009</c:v>
                </c:pt>
                <c:pt idx="241">
                  <c:v>25.216152585364</c:v>
                </c:pt>
                <c:pt idx="242">
                  <c:v>25.251671741418022</c:v>
                </c:pt>
                <c:pt idx="243">
                  <c:v>25.287846423539008</c:v>
                </c:pt>
                <c:pt idx="244">
                  <c:v>25.319040034354032</c:v>
                </c:pt>
                <c:pt idx="245">
                  <c:v>25.453811415861026</c:v>
                </c:pt>
                <c:pt idx="246">
                  <c:v>25.492170803231033</c:v>
                </c:pt>
                <c:pt idx="247">
                  <c:v>25.510612191713051</c:v>
                </c:pt>
                <c:pt idx="248">
                  <c:v>25.51420790849005</c:v>
                </c:pt>
                <c:pt idx="249">
                  <c:v>25.495652465716034</c:v>
                </c:pt>
                <c:pt idx="250">
                  <c:v>25.457696052312031</c:v>
                </c:pt>
                <c:pt idx="251">
                  <c:v>25.431787901548034</c:v>
                </c:pt>
                <c:pt idx="252">
                  <c:v>25.397025737755996</c:v>
                </c:pt>
                <c:pt idx="253">
                  <c:v>25.388189791744026</c:v>
                </c:pt>
                <c:pt idx="254">
                  <c:v>25.403197922923027</c:v>
                </c:pt>
                <c:pt idx="255">
                  <c:v>25.398433322346023</c:v>
                </c:pt>
                <c:pt idx="256">
                  <c:v>25.382087591029006</c:v>
                </c:pt>
                <c:pt idx="257">
                  <c:v>25.371536649156042</c:v>
                </c:pt>
                <c:pt idx="258">
                  <c:v>25.356303655672036</c:v>
                </c:pt>
                <c:pt idx="259">
                  <c:v>25.338537813365008</c:v>
                </c:pt>
                <c:pt idx="260">
                  <c:v>25.323974774654005</c:v>
                </c:pt>
                <c:pt idx="261">
                  <c:v>25.256542376469042</c:v>
                </c:pt>
                <c:pt idx="262">
                  <c:v>25.174595559928036</c:v>
                </c:pt>
                <c:pt idx="263">
                  <c:v>25.111782119887039</c:v>
                </c:pt>
                <c:pt idx="264">
                  <c:v>25.046978496377051</c:v>
                </c:pt>
                <c:pt idx="265">
                  <c:v>24.969941549813029</c:v>
                </c:pt>
                <c:pt idx="266">
                  <c:v>24.882665141616997</c:v>
                </c:pt>
                <c:pt idx="267">
                  <c:v>24.771618656599003</c:v>
                </c:pt>
                <c:pt idx="268">
                  <c:v>24.65872129306905</c:v>
                </c:pt>
                <c:pt idx="269">
                  <c:v>25.930757095947001</c:v>
                </c:pt>
                <c:pt idx="270">
                  <c:v>26.122360427594003</c:v>
                </c:pt>
                <c:pt idx="271">
                  <c:v>26.162113000167039</c:v>
                </c:pt>
                <c:pt idx="272">
                  <c:v>26.173191251109017</c:v>
                </c:pt>
                <c:pt idx="273">
                  <c:v>26.253038309386</c:v>
                </c:pt>
                <c:pt idx="274">
                  <c:v>26.23842936124305</c:v>
                </c:pt>
                <c:pt idx="275">
                  <c:v>26.213352616795021</c:v>
                </c:pt>
                <c:pt idx="276">
                  <c:v>26.194813531525995</c:v>
                </c:pt>
                <c:pt idx="277">
                  <c:v>26.183506270153998</c:v>
                </c:pt>
                <c:pt idx="278">
                  <c:v>26.172432956274008</c:v>
                </c:pt>
                <c:pt idx="279">
                  <c:v>26.161282005718022</c:v>
                </c:pt>
                <c:pt idx="280">
                  <c:v>26.150996076729029</c:v>
                </c:pt>
                <c:pt idx="281">
                  <c:v>26.141746013784996</c:v>
                </c:pt>
                <c:pt idx="282">
                  <c:v>26.132527845650998</c:v>
                </c:pt>
                <c:pt idx="283">
                  <c:v>26.123524246889019</c:v>
                </c:pt>
                <c:pt idx="284">
                  <c:v>26.115282724962015</c:v>
                </c:pt>
                <c:pt idx="285">
                  <c:v>26.108526666204</c:v>
                </c:pt>
                <c:pt idx="286">
                  <c:v>26.103568340404024</c:v>
                </c:pt>
                <c:pt idx="287">
                  <c:v>26.10011312019401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A-41B7-A8B3-380540233940}"/>
            </c:ext>
          </c:extLst>
        </c:ser>
        <c:ser>
          <c:idx val="2"/>
          <c:order val="2"/>
          <c:tx>
            <c:strRef>
              <c:f>'without compensator'!$T$1</c:f>
              <c:strCache>
                <c:ptCount val="1"/>
                <c:pt idx="0">
                  <c:v>Teas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'without compensator'!$T$2:$T$289</c:f>
              <c:numCache>
                <c:formatCode>General</c:formatCode>
                <c:ptCount val="288"/>
                <c:pt idx="0">
                  <c:v>24</c:v>
                </c:pt>
                <c:pt idx="1">
                  <c:v>23.739967203935009</c:v>
                </c:pt>
                <c:pt idx="2">
                  <c:v>23.856407785126009</c:v>
                </c:pt>
                <c:pt idx="3">
                  <c:v>23.826035510205031</c:v>
                </c:pt>
                <c:pt idx="4">
                  <c:v>23.897065511869016</c:v>
                </c:pt>
                <c:pt idx="5">
                  <c:v>23.866952778054042</c:v>
                </c:pt>
                <c:pt idx="6">
                  <c:v>23.873186486948043</c:v>
                </c:pt>
                <c:pt idx="7">
                  <c:v>23.893279614676999</c:v>
                </c:pt>
                <c:pt idx="8">
                  <c:v>23.883897966698044</c:v>
                </c:pt>
                <c:pt idx="9">
                  <c:v>23.868027038640037</c:v>
                </c:pt>
                <c:pt idx="10">
                  <c:v>23.856924328982018</c:v>
                </c:pt>
                <c:pt idx="11">
                  <c:v>23.848629767944033</c:v>
                </c:pt>
                <c:pt idx="12">
                  <c:v>23.841884485065009</c:v>
                </c:pt>
                <c:pt idx="13">
                  <c:v>23.83603931798001</c:v>
                </c:pt>
                <c:pt idx="14">
                  <c:v>23.828760570641009</c:v>
                </c:pt>
                <c:pt idx="15">
                  <c:v>23.819328721621048</c:v>
                </c:pt>
                <c:pt idx="16">
                  <c:v>23.808601288266004</c:v>
                </c:pt>
                <c:pt idx="17">
                  <c:v>23.792920240403021</c:v>
                </c:pt>
                <c:pt idx="18">
                  <c:v>23.782530771419033</c:v>
                </c:pt>
                <c:pt idx="19">
                  <c:v>23.704578463133032</c:v>
                </c:pt>
                <c:pt idx="20">
                  <c:v>23.765896239238998</c:v>
                </c:pt>
                <c:pt idx="21">
                  <c:v>23.742685930997027</c:v>
                </c:pt>
                <c:pt idx="22">
                  <c:v>23.760803456215001</c:v>
                </c:pt>
                <c:pt idx="23">
                  <c:v>23.811473153940028</c:v>
                </c:pt>
                <c:pt idx="24">
                  <c:v>23.877869509294044</c:v>
                </c:pt>
                <c:pt idx="25">
                  <c:v>23.99116697538301</c:v>
                </c:pt>
                <c:pt idx="26">
                  <c:v>24.121671345402035</c:v>
                </c:pt>
                <c:pt idx="27">
                  <c:v>24.215717897290006</c:v>
                </c:pt>
                <c:pt idx="28">
                  <c:v>24.296896290182019</c:v>
                </c:pt>
                <c:pt idx="29">
                  <c:v>23.917416282158001</c:v>
                </c:pt>
                <c:pt idx="30">
                  <c:v>23.59339561351203</c:v>
                </c:pt>
                <c:pt idx="31">
                  <c:v>23.26635033081601</c:v>
                </c:pt>
                <c:pt idx="32">
                  <c:v>23.120490979671047</c:v>
                </c:pt>
                <c:pt idx="33">
                  <c:v>23.145030885522033</c:v>
                </c:pt>
                <c:pt idx="34">
                  <c:v>23.242380066812018</c:v>
                </c:pt>
                <c:pt idx="35">
                  <c:v>23.37075278967103</c:v>
                </c:pt>
                <c:pt idx="36">
                  <c:v>23.551439062576037</c:v>
                </c:pt>
                <c:pt idx="37">
                  <c:v>23.684199246266019</c:v>
                </c:pt>
                <c:pt idx="38">
                  <c:v>23.785612240003047</c:v>
                </c:pt>
                <c:pt idx="39">
                  <c:v>23.855561912531016</c:v>
                </c:pt>
                <c:pt idx="40">
                  <c:v>23.900806942645033</c:v>
                </c:pt>
                <c:pt idx="41">
                  <c:v>23.940408473695015</c:v>
                </c:pt>
                <c:pt idx="42">
                  <c:v>23.960825928751035</c:v>
                </c:pt>
                <c:pt idx="43">
                  <c:v>23.970203919168</c:v>
                </c:pt>
                <c:pt idx="44">
                  <c:v>23.969807914772048</c:v>
                </c:pt>
                <c:pt idx="45">
                  <c:v>23.971131375666005</c:v>
                </c:pt>
                <c:pt idx="46">
                  <c:v>23.951540579816026</c:v>
                </c:pt>
                <c:pt idx="47">
                  <c:v>23.944791533975035</c:v>
                </c:pt>
                <c:pt idx="48">
                  <c:v>23.936042449642002</c:v>
                </c:pt>
                <c:pt idx="49">
                  <c:v>23.876981484607995</c:v>
                </c:pt>
                <c:pt idx="50">
                  <c:v>23.873280071620002</c:v>
                </c:pt>
                <c:pt idx="51">
                  <c:v>23.868467646340036</c:v>
                </c:pt>
                <c:pt idx="52">
                  <c:v>23.860901474692014</c:v>
                </c:pt>
                <c:pt idx="53">
                  <c:v>23.97601070685505</c:v>
                </c:pt>
                <c:pt idx="54">
                  <c:v>23.989148705217019</c:v>
                </c:pt>
                <c:pt idx="55">
                  <c:v>23.998664486789039</c:v>
                </c:pt>
                <c:pt idx="56">
                  <c:v>24.011526277636051</c:v>
                </c:pt>
                <c:pt idx="57">
                  <c:v>24.016492108927025</c:v>
                </c:pt>
                <c:pt idx="58">
                  <c:v>24.016171461260001</c:v>
                </c:pt>
                <c:pt idx="59">
                  <c:v>24.025279307733001</c:v>
                </c:pt>
                <c:pt idx="60">
                  <c:v>24.028192458133049</c:v>
                </c:pt>
                <c:pt idx="61">
                  <c:v>24.036857112445034</c:v>
                </c:pt>
                <c:pt idx="62">
                  <c:v>24.056482832685049</c:v>
                </c:pt>
                <c:pt idx="63">
                  <c:v>24.05508122925005</c:v>
                </c:pt>
                <c:pt idx="64">
                  <c:v>24.05099732657601</c:v>
                </c:pt>
                <c:pt idx="65">
                  <c:v>24.062023714577037</c:v>
                </c:pt>
                <c:pt idx="66">
                  <c:v>24.063392309112999</c:v>
                </c:pt>
                <c:pt idx="67">
                  <c:v>24.054547895033011</c:v>
                </c:pt>
                <c:pt idx="68">
                  <c:v>24.06366811390501</c:v>
                </c:pt>
                <c:pt idx="69">
                  <c:v>24.00194352454605</c:v>
                </c:pt>
                <c:pt idx="70">
                  <c:v>23.925583249437011</c:v>
                </c:pt>
                <c:pt idx="71">
                  <c:v>23.839536649773038</c:v>
                </c:pt>
                <c:pt idx="72">
                  <c:v>23.750993639324008</c:v>
                </c:pt>
                <c:pt idx="73">
                  <c:v>23.647037749768003</c:v>
                </c:pt>
                <c:pt idx="74">
                  <c:v>23.54087500727303</c:v>
                </c:pt>
                <c:pt idx="75">
                  <c:v>23.440234375816999</c:v>
                </c:pt>
                <c:pt idx="76">
                  <c:v>23.329104776096017</c:v>
                </c:pt>
                <c:pt idx="77">
                  <c:v>24.562113901524015</c:v>
                </c:pt>
                <c:pt idx="78">
                  <c:v>24.727444947467006</c:v>
                </c:pt>
                <c:pt idx="79">
                  <c:v>24.757799535565027</c:v>
                </c:pt>
                <c:pt idx="80">
                  <c:v>24.770788211668048</c:v>
                </c:pt>
                <c:pt idx="81">
                  <c:v>24.852300747945037</c:v>
                </c:pt>
                <c:pt idx="82">
                  <c:v>24.861518389766047</c:v>
                </c:pt>
                <c:pt idx="83">
                  <c:v>24.862130902860031</c:v>
                </c:pt>
                <c:pt idx="84">
                  <c:v>24.859274071559014</c:v>
                </c:pt>
                <c:pt idx="85">
                  <c:v>24.853185212470009</c:v>
                </c:pt>
                <c:pt idx="86">
                  <c:v>24.84150481085203</c:v>
                </c:pt>
                <c:pt idx="87">
                  <c:v>24.818899686923999</c:v>
                </c:pt>
                <c:pt idx="88">
                  <c:v>24.796128867273012</c:v>
                </c:pt>
                <c:pt idx="89">
                  <c:v>24.778370895888997</c:v>
                </c:pt>
                <c:pt idx="90">
                  <c:v>24.761700951660998</c:v>
                </c:pt>
                <c:pt idx="91">
                  <c:v>24.75233645034001</c:v>
                </c:pt>
                <c:pt idx="92">
                  <c:v>24.740141645789038</c:v>
                </c:pt>
                <c:pt idx="93">
                  <c:v>24.726488593384033</c:v>
                </c:pt>
                <c:pt idx="94">
                  <c:v>24.706418901815027</c:v>
                </c:pt>
                <c:pt idx="95">
                  <c:v>24.696473392721032</c:v>
                </c:pt>
                <c:pt idx="96">
                  <c:v>24.680092753433996</c:v>
                </c:pt>
                <c:pt idx="97">
                  <c:v>24.665758309246996</c:v>
                </c:pt>
                <c:pt idx="98">
                  <c:v>24.652669826292026</c:v>
                </c:pt>
                <c:pt idx="99">
                  <c:v>24.639721138220011</c:v>
                </c:pt>
                <c:pt idx="100">
                  <c:v>24.62683421551003</c:v>
                </c:pt>
                <c:pt idx="101">
                  <c:v>24.613939757135995</c:v>
                </c:pt>
                <c:pt idx="102">
                  <c:v>24.600762456178018</c:v>
                </c:pt>
                <c:pt idx="103">
                  <c:v>24.587326137039042</c:v>
                </c:pt>
                <c:pt idx="104">
                  <c:v>24.573921119462</c:v>
                </c:pt>
                <c:pt idx="105">
                  <c:v>24.561236007103048</c:v>
                </c:pt>
                <c:pt idx="106">
                  <c:v>24.550775936638047</c:v>
                </c:pt>
                <c:pt idx="107">
                  <c:v>24.542436541096038</c:v>
                </c:pt>
                <c:pt idx="108">
                  <c:v>24.534684702604011</c:v>
                </c:pt>
                <c:pt idx="109">
                  <c:v>24.52545229814001</c:v>
                </c:pt>
                <c:pt idx="110">
                  <c:v>24.513503297367038</c:v>
                </c:pt>
                <c:pt idx="111">
                  <c:v>24.49973293245705</c:v>
                </c:pt>
                <c:pt idx="112">
                  <c:v>24.486863208548016</c:v>
                </c:pt>
                <c:pt idx="113">
                  <c:v>24.477294782489025</c:v>
                </c:pt>
                <c:pt idx="114">
                  <c:v>24.457541813356045</c:v>
                </c:pt>
                <c:pt idx="115">
                  <c:v>24.475702463711002</c:v>
                </c:pt>
                <c:pt idx="116">
                  <c:v>24.50407709160902</c:v>
                </c:pt>
                <c:pt idx="117">
                  <c:v>24.550492928112021</c:v>
                </c:pt>
                <c:pt idx="118">
                  <c:v>24.61480295782502</c:v>
                </c:pt>
                <c:pt idx="119">
                  <c:v>24.688790283895003</c:v>
                </c:pt>
                <c:pt idx="120">
                  <c:v>24.776572448533045</c:v>
                </c:pt>
                <c:pt idx="121">
                  <c:v>24.886924871108022</c:v>
                </c:pt>
                <c:pt idx="122">
                  <c:v>25.020854191958051</c:v>
                </c:pt>
                <c:pt idx="123">
                  <c:v>25.156704990488038</c:v>
                </c:pt>
                <c:pt idx="124">
                  <c:v>25.297232336737011</c:v>
                </c:pt>
                <c:pt idx="125">
                  <c:v>24.986091456278018</c:v>
                </c:pt>
                <c:pt idx="126">
                  <c:v>24.602273156713011</c:v>
                </c:pt>
                <c:pt idx="127">
                  <c:v>24.24589041167502</c:v>
                </c:pt>
                <c:pt idx="128">
                  <c:v>24.097280335073037</c:v>
                </c:pt>
                <c:pt idx="129">
                  <c:v>24.150505116841032</c:v>
                </c:pt>
                <c:pt idx="130">
                  <c:v>24.26853500519104</c:v>
                </c:pt>
                <c:pt idx="131">
                  <c:v>24.401902805483019</c:v>
                </c:pt>
                <c:pt idx="132">
                  <c:v>24.567044087330032</c:v>
                </c:pt>
                <c:pt idx="133">
                  <c:v>24.663103791426011</c:v>
                </c:pt>
                <c:pt idx="134">
                  <c:v>24.721181816446006</c:v>
                </c:pt>
                <c:pt idx="135">
                  <c:v>24.757735211436</c:v>
                </c:pt>
                <c:pt idx="136">
                  <c:v>24.785816496470034</c:v>
                </c:pt>
                <c:pt idx="137">
                  <c:v>24.798503023281</c:v>
                </c:pt>
                <c:pt idx="138">
                  <c:v>24.810339793677031</c:v>
                </c:pt>
                <c:pt idx="139">
                  <c:v>24.806491346121049</c:v>
                </c:pt>
                <c:pt idx="140">
                  <c:v>24.798014068957002</c:v>
                </c:pt>
                <c:pt idx="141">
                  <c:v>24.783476424327034</c:v>
                </c:pt>
                <c:pt idx="142">
                  <c:v>24.75690749009101</c:v>
                </c:pt>
                <c:pt idx="143">
                  <c:v>24.737829260570038</c:v>
                </c:pt>
                <c:pt idx="144">
                  <c:v>24.72293270675101</c:v>
                </c:pt>
                <c:pt idx="145">
                  <c:v>24.656758645704997</c:v>
                </c:pt>
                <c:pt idx="146">
                  <c:v>24.650851729202031</c:v>
                </c:pt>
                <c:pt idx="147">
                  <c:v>24.629449735234004</c:v>
                </c:pt>
                <c:pt idx="148">
                  <c:v>24.622829140569024</c:v>
                </c:pt>
                <c:pt idx="149">
                  <c:v>24.722019921299022</c:v>
                </c:pt>
                <c:pt idx="150">
                  <c:v>24.732371193899041</c:v>
                </c:pt>
                <c:pt idx="151">
                  <c:v>24.735405050481006</c:v>
                </c:pt>
                <c:pt idx="152">
                  <c:v>24.741919486585005</c:v>
                </c:pt>
                <c:pt idx="153">
                  <c:v>24.742527936586043</c:v>
                </c:pt>
                <c:pt idx="154">
                  <c:v>24.745572962240999</c:v>
                </c:pt>
                <c:pt idx="155">
                  <c:v>24.744271784949035</c:v>
                </c:pt>
                <c:pt idx="156">
                  <c:v>24.746294594460039</c:v>
                </c:pt>
                <c:pt idx="157">
                  <c:v>24.743337692571004</c:v>
                </c:pt>
                <c:pt idx="158">
                  <c:v>24.743389864022049</c:v>
                </c:pt>
                <c:pt idx="159">
                  <c:v>24.73831333692101</c:v>
                </c:pt>
                <c:pt idx="160">
                  <c:v>24.73585035219503</c:v>
                </c:pt>
                <c:pt idx="161">
                  <c:v>24.726885059547044</c:v>
                </c:pt>
                <c:pt idx="162">
                  <c:v>24.721012987192012</c:v>
                </c:pt>
                <c:pt idx="163">
                  <c:v>24.709660266840046</c:v>
                </c:pt>
                <c:pt idx="164">
                  <c:v>24.698116167080002</c:v>
                </c:pt>
                <c:pt idx="165">
                  <c:v>24.642071488369027</c:v>
                </c:pt>
                <c:pt idx="166">
                  <c:v>24.552702466655035</c:v>
                </c:pt>
                <c:pt idx="167">
                  <c:v>24.462218997692048</c:v>
                </c:pt>
                <c:pt idx="168">
                  <c:v>24.354064115518042</c:v>
                </c:pt>
                <c:pt idx="169">
                  <c:v>24.252447717945017</c:v>
                </c:pt>
                <c:pt idx="170">
                  <c:v>24.150301139371038</c:v>
                </c:pt>
                <c:pt idx="171">
                  <c:v>24.024257818300043</c:v>
                </c:pt>
                <c:pt idx="172">
                  <c:v>23.903795993120013</c:v>
                </c:pt>
                <c:pt idx="173">
                  <c:v>25.252788732059003</c:v>
                </c:pt>
                <c:pt idx="174">
                  <c:v>25.417674997492043</c:v>
                </c:pt>
                <c:pt idx="175">
                  <c:v>25.433147164306035</c:v>
                </c:pt>
                <c:pt idx="176">
                  <c:v>25.46127525794401</c:v>
                </c:pt>
                <c:pt idx="177">
                  <c:v>25.543975116414003</c:v>
                </c:pt>
                <c:pt idx="178">
                  <c:v>25.551402581103048</c:v>
                </c:pt>
                <c:pt idx="179">
                  <c:v>25.547400848433028</c:v>
                </c:pt>
                <c:pt idx="180">
                  <c:v>25.540294458705034</c:v>
                </c:pt>
                <c:pt idx="181">
                  <c:v>25.532265915772996</c:v>
                </c:pt>
                <c:pt idx="182">
                  <c:v>25.524374606584047</c:v>
                </c:pt>
                <c:pt idx="183">
                  <c:v>25.516508426201028</c:v>
                </c:pt>
                <c:pt idx="184">
                  <c:v>25.507958720394015</c:v>
                </c:pt>
                <c:pt idx="185">
                  <c:v>25.498144176423011</c:v>
                </c:pt>
                <c:pt idx="186">
                  <c:v>25.487910280118001</c:v>
                </c:pt>
                <c:pt idx="187">
                  <c:v>25.477492245734027</c:v>
                </c:pt>
                <c:pt idx="188">
                  <c:v>25.466739563060003</c:v>
                </c:pt>
                <c:pt idx="189">
                  <c:v>25.45539747973902</c:v>
                </c:pt>
                <c:pt idx="190">
                  <c:v>25.443494473291025</c:v>
                </c:pt>
                <c:pt idx="191">
                  <c:v>25.431202822379021</c:v>
                </c:pt>
                <c:pt idx="192">
                  <c:v>25.41884724610901</c:v>
                </c:pt>
                <c:pt idx="193">
                  <c:v>25.407691232897037</c:v>
                </c:pt>
                <c:pt idx="194">
                  <c:v>25.397218978962997</c:v>
                </c:pt>
                <c:pt idx="195">
                  <c:v>25.387071879295036</c:v>
                </c:pt>
                <c:pt idx="196">
                  <c:v>25.377235455217999</c:v>
                </c:pt>
                <c:pt idx="197">
                  <c:v>25.368254049357006</c:v>
                </c:pt>
                <c:pt idx="198">
                  <c:v>25.360874036640041</c:v>
                </c:pt>
                <c:pt idx="199">
                  <c:v>25.353773717204035</c:v>
                </c:pt>
                <c:pt idx="200">
                  <c:v>25.346303759189027</c:v>
                </c:pt>
                <c:pt idx="201">
                  <c:v>25.338019218398017</c:v>
                </c:pt>
                <c:pt idx="202">
                  <c:v>25.327930157359049</c:v>
                </c:pt>
                <c:pt idx="203">
                  <c:v>25.316545573135045</c:v>
                </c:pt>
                <c:pt idx="204">
                  <c:v>25.305367741907048</c:v>
                </c:pt>
                <c:pt idx="205">
                  <c:v>25.296284789820049</c:v>
                </c:pt>
                <c:pt idx="206">
                  <c:v>25.290488251190027</c:v>
                </c:pt>
                <c:pt idx="207">
                  <c:v>25.286468541539023</c:v>
                </c:pt>
                <c:pt idx="208">
                  <c:v>25.282082207634005</c:v>
                </c:pt>
                <c:pt idx="209">
                  <c:v>25.276393775976032</c:v>
                </c:pt>
                <c:pt idx="210">
                  <c:v>25.269383598722015</c:v>
                </c:pt>
                <c:pt idx="211">
                  <c:v>25.263266784181042</c:v>
                </c:pt>
                <c:pt idx="212">
                  <c:v>25.267104782513002</c:v>
                </c:pt>
                <c:pt idx="213">
                  <c:v>25.287084083848015</c:v>
                </c:pt>
                <c:pt idx="214">
                  <c:v>25.322233538190005</c:v>
                </c:pt>
                <c:pt idx="215">
                  <c:v>25.368137399738032</c:v>
                </c:pt>
                <c:pt idx="216">
                  <c:v>25.421934977418005</c:v>
                </c:pt>
                <c:pt idx="217">
                  <c:v>25.489556721169038</c:v>
                </c:pt>
                <c:pt idx="218">
                  <c:v>25.575108815745011</c:v>
                </c:pt>
                <c:pt idx="219">
                  <c:v>25.671292084550998</c:v>
                </c:pt>
                <c:pt idx="220">
                  <c:v>25.776701025480008</c:v>
                </c:pt>
                <c:pt idx="221">
                  <c:v>25.406239916874995</c:v>
                </c:pt>
                <c:pt idx="222">
                  <c:v>24.998386251753004</c:v>
                </c:pt>
                <c:pt idx="223">
                  <c:v>24.615380838162025</c:v>
                </c:pt>
                <c:pt idx="224">
                  <c:v>24.441974126761011</c:v>
                </c:pt>
                <c:pt idx="225">
                  <c:v>24.477145578409022</c:v>
                </c:pt>
                <c:pt idx="226">
                  <c:v>24.576225729087014</c:v>
                </c:pt>
                <c:pt idx="227">
                  <c:v>24.686836086355015</c:v>
                </c:pt>
                <c:pt idx="228">
                  <c:v>24.842339596640045</c:v>
                </c:pt>
                <c:pt idx="229">
                  <c:v>24.934816053049019</c:v>
                </c:pt>
                <c:pt idx="230">
                  <c:v>24.988424853959998</c:v>
                </c:pt>
                <c:pt idx="231">
                  <c:v>25.020732252658036</c:v>
                </c:pt>
                <c:pt idx="232">
                  <c:v>25.05623506836605</c:v>
                </c:pt>
                <c:pt idx="233">
                  <c:v>25.078601851093026</c:v>
                </c:pt>
                <c:pt idx="234">
                  <c:v>25.087992089714021</c:v>
                </c:pt>
                <c:pt idx="235">
                  <c:v>25.09747478062701</c:v>
                </c:pt>
                <c:pt idx="236">
                  <c:v>25.106848959170009</c:v>
                </c:pt>
                <c:pt idx="237">
                  <c:v>25.088492790968019</c:v>
                </c:pt>
                <c:pt idx="238">
                  <c:v>25.077212785229051</c:v>
                </c:pt>
                <c:pt idx="239">
                  <c:v>25.057345328071051</c:v>
                </c:pt>
                <c:pt idx="240">
                  <c:v>25.045820778323048</c:v>
                </c:pt>
                <c:pt idx="241">
                  <c:v>24.981619707749019</c:v>
                </c:pt>
                <c:pt idx="242">
                  <c:v>24.976601319264034</c:v>
                </c:pt>
                <c:pt idx="243">
                  <c:v>24.975791567217016</c:v>
                </c:pt>
                <c:pt idx="244">
                  <c:v>24.975712231767034</c:v>
                </c:pt>
                <c:pt idx="245">
                  <c:v>25.079918651732044</c:v>
                </c:pt>
                <c:pt idx="246">
                  <c:v>25.095403871010035</c:v>
                </c:pt>
                <c:pt idx="247">
                  <c:v>25.108046467188046</c:v>
                </c:pt>
                <c:pt idx="248">
                  <c:v>25.109065812899019</c:v>
                </c:pt>
                <c:pt idx="249">
                  <c:v>25.115409955672021</c:v>
                </c:pt>
                <c:pt idx="250">
                  <c:v>25.105667189553003</c:v>
                </c:pt>
                <c:pt idx="251">
                  <c:v>25.096030934718044</c:v>
                </c:pt>
                <c:pt idx="252">
                  <c:v>25.094267114966044</c:v>
                </c:pt>
                <c:pt idx="253">
                  <c:v>25.089025732704044</c:v>
                </c:pt>
                <c:pt idx="254">
                  <c:v>25.095344015999046</c:v>
                </c:pt>
                <c:pt idx="255">
                  <c:v>25.103350055665032</c:v>
                </c:pt>
                <c:pt idx="256">
                  <c:v>25.102103869105008</c:v>
                </c:pt>
                <c:pt idx="257">
                  <c:v>25.098749037301047</c:v>
                </c:pt>
                <c:pt idx="258">
                  <c:v>25.089865485829023</c:v>
                </c:pt>
                <c:pt idx="259">
                  <c:v>25.074171170329009</c:v>
                </c:pt>
                <c:pt idx="260">
                  <c:v>25.050722376574015</c:v>
                </c:pt>
                <c:pt idx="261">
                  <c:v>24.980131760200038</c:v>
                </c:pt>
                <c:pt idx="262">
                  <c:v>24.890742596227994</c:v>
                </c:pt>
                <c:pt idx="263">
                  <c:v>24.802213280063029</c:v>
                </c:pt>
                <c:pt idx="264">
                  <c:v>24.705085727571031</c:v>
                </c:pt>
                <c:pt idx="265">
                  <c:v>24.599477723598</c:v>
                </c:pt>
                <c:pt idx="266">
                  <c:v>24.490539793970015</c:v>
                </c:pt>
                <c:pt idx="267">
                  <c:v>24.373381656864012</c:v>
                </c:pt>
                <c:pt idx="268">
                  <c:v>24.260040879373037</c:v>
                </c:pt>
                <c:pt idx="269">
                  <c:v>25.662953464109023</c:v>
                </c:pt>
                <c:pt idx="270">
                  <c:v>25.868340868469033</c:v>
                </c:pt>
                <c:pt idx="271">
                  <c:v>25.912282251268039</c:v>
                </c:pt>
                <c:pt idx="272">
                  <c:v>25.926845797249996</c:v>
                </c:pt>
                <c:pt idx="273">
                  <c:v>26.031026114100996</c:v>
                </c:pt>
                <c:pt idx="274">
                  <c:v>26.038505049085018</c:v>
                </c:pt>
                <c:pt idx="275">
                  <c:v>26.031426487247018</c:v>
                </c:pt>
                <c:pt idx="276">
                  <c:v>26.022289489327022</c:v>
                </c:pt>
                <c:pt idx="277">
                  <c:v>26.015760395004008</c:v>
                </c:pt>
                <c:pt idx="278">
                  <c:v>26.010158167067004</c:v>
                </c:pt>
                <c:pt idx="279">
                  <c:v>26.004202022907009</c:v>
                </c:pt>
                <c:pt idx="280">
                  <c:v>25.99795219060104</c:v>
                </c:pt>
                <c:pt idx="281">
                  <c:v>25.99163215831004</c:v>
                </c:pt>
                <c:pt idx="282">
                  <c:v>25.985098863304017</c:v>
                </c:pt>
                <c:pt idx="283">
                  <c:v>25.978446687733026</c:v>
                </c:pt>
                <c:pt idx="284">
                  <c:v>25.971927676340044</c:v>
                </c:pt>
                <c:pt idx="285">
                  <c:v>25.965882039993005</c:v>
                </c:pt>
                <c:pt idx="286">
                  <c:v>25.960581479051029</c:v>
                </c:pt>
                <c:pt idx="287">
                  <c:v>25.956034453828011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A-41B7-A8B3-380540233940}"/>
            </c:ext>
          </c:extLst>
        </c:ser>
        <c:ser>
          <c:idx val="3"/>
          <c:order val="3"/>
          <c:tx>
            <c:strRef>
              <c:f>'without compensator'!$U$1</c:f>
              <c:strCache>
                <c:ptCount val="1"/>
                <c:pt idx="0">
                  <c:v>Tnor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'without compensator'!$U$2:$U$289</c:f>
              <c:numCache>
                <c:formatCode>General</c:formatCode>
                <c:ptCount val="288"/>
                <c:pt idx="0">
                  <c:v>24</c:v>
                </c:pt>
                <c:pt idx="1">
                  <c:v>23.720058746263021</c:v>
                </c:pt>
                <c:pt idx="2">
                  <c:v>23.850070764596012</c:v>
                </c:pt>
                <c:pt idx="3">
                  <c:v>23.879129946117018</c:v>
                </c:pt>
                <c:pt idx="4">
                  <c:v>23.814033434398027</c:v>
                </c:pt>
                <c:pt idx="5">
                  <c:v>23.82921641804603</c:v>
                </c:pt>
                <c:pt idx="6">
                  <c:v>23.887803537576019</c:v>
                </c:pt>
                <c:pt idx="7">
                  <c:v>23.874975824762032</c:v>
                </c:pt>
                <c:pt idx="8">
                  <c:v>23.776962794651013</c:v>
                </c:pt>
                <c:pt idx="9">
                  <c:v>23.753518866538002</c:v>
                </c:pt>
                <c:pt idx="10">
                  <c:v>23.740546246060035</c:v>
                </c:pt>
                <c:pt idx="11">
                  <c:v>23.731392130920995</c:v>
                </c:pt>
                <c:pt idx="12">
                  <c:v>23.724463855214026</c:v>
                </c:pt>
                <c:pt idx="13">
                  <c:v>23.719187179420032</c:v>
                </c:pt>
                <c:pt idx="14">
                  <c:v>23.713781330284007</c:v>
                </c:pt>
                <c:pt idx="15">
                  <c:v>23.708100001435014</c:v>
                </c:pt>
                <c:pt idx="16">
                  <c:v>23.70325749357005</c:v>
                </c:pt>
                <c:pt idx="17">
                  <c:v>23.74288839973201</c:v>
                </c:pt>
                <c:pt idx="18">
                  <c:v>23.759382370447042</c:v>
                </c:pt>
                <c:pt idx="19">
                  <c:v>23.747202580819021</c:v>
                </c:pt>
                <c:pt idx="20">
                  <c:v>23.664630860269995</c:v>
                </c:pt>
                <c:pt idx="21">
                  <c:v>23.688490729719035</c:v>
                </c:pt>
                <c:pt idx="22">
                  <c:v>23.752519213636049</c:v>
                </c:pt>
                <c:pt idx="23">
                  <c:v>23.77066043015401</c:v>
                </c:pt>
                <c:pt idx="24">
                  <c:v>23.747002148929027</c:v>
                </c:pt>
                <c:pt idx="25">
                  <c:v>23.755700193007044</c:v>
                </c:pt>
                <c:pt idx="26">
                  <c:v>23.785939911626031</c:v>
                </c:pt>
                <c:pt idx="27">
                  <c:v>23.827122507481022</c:v>
                </c:pt>
                <c:pt idx="28">
                  <c:v>23.882569080981</c:v>
                </c:pt>
                <c:pt idx="29">
                  <c:v>23.644011160486002</c:v>
                </c:pt>
                <c:pt idx="30">
                  <c:v>23.419230887799017</c:v>
                </c:pt>
                <c:pt idx="31">
                  <c:v>23.124475239717015</c:v>
                </c:pt>
                <c:pt idx="32">
                  <c:v>22.969616153580034</c:v>
                </c:pt>
                <c:pt idx="33">
                  <c:v>22.990301234933042</c:v>
                </c:pt>
                <c:pt idx="34">
                  <c:v>23.084419614669002</c:v>
                </c:pt>
                <c:pt idx="35">
                  <c:v>23.197204099532996</c:v>
                </c:pt>
                <c:pt idx="36">
                  <c:v>23.343998193805021</c:v>
                </c:pt>
                <c:pt idx="37">
                  <c:v>23.423268741583001</c:v>
                </c:pt>
                <c:pt idx="38">
                  <c:v>23.470495121083047</c:v>
                </c:pt>
                <c:pt idx="39">
                  <c:v>23.505132450656049</c:v>
                </c:pt>
                <c:pt idx="40">
                  <c:v>23.535135854448015</c:v>
                </c:pt>
                <c:pt idx="41">
                  <c:v>23.57056916661503</c:v>
                </c:pt>
                <c:pt idx="42">
                  <c:v>23.596743108281999</c:v>
                </c:pt>
                <c:pt idx="43">
                  <c:v>23.619689133622046</c:v>
                </c:pt>
                <c:pt idx="44">
                  <c:v>23.643091841580031</c:v>
                </c:pt>
                <c:pt idx="45">
                  <c:v>23.67181582701005</c:v>
                </c:pt>
                <c:pt idx="46">
                  <c:v>23.683535929543041</c:v>
                </c:pt>
                <c:pt idx="47">
                  <c:v>23.709928849435016</c:v>
                </c:pt>
                <c:pt idx="48">
                  <c:v>23.727698092118032</c:v>
                </c:pt>
                <c:pt idx="49">
                  <c:v>23.682355191159047</c:v>
                </c:pt>
                <c:pt idx="50">
                  <c:v>23.697317131993998</c:v>
                </c:pt>
                <c:pt idx="51">
                  <c:v>23.708806666203998</c:v>
                </c:pt>
                <c:pt idx="52">
                  <c:v>23.715659824876013</c:v>
                </c:pt>
                <c:pt idx="53">
                  <c:v>23.856565939263021</c:v>
                </c:pt>
                <c:pt idx="54">
                  <c:v>23.884125597285049</c:v>
                </c:pt>
                <c:pt idx="55">
                  <c:v>23.906273128939006</c:v>
                </c:pt>
                <c:pt idx="56">
                  <c:v>23.933239718183017</c:v>
                </c:pt>
                <c:pt idx="57">
                  <c:v>23.950660368678996</c:v>
                </c:pt>
                <c:pt idx="58">
                  <c:v>23.961047398354026</c:v>
                </c:pt>
                <c:pt idx="59">
                  <c:v>23.980906666470048</c:v>
                </c:pt>
                <c:pt idx="60">
                  <c:v>23.993519568859995</c:v>
                </c:pt>
                <c:pt idx="61">
                  <c:v>24.012392895282005</c:v>
                </c:pt>
                <c:pt idx="62">
                  <c:v>24.041189044949022</c:v>
                </c:pt>
                <c:pt idx="63">
                  <c:v>24.050746386262006</c:v>
                </c:pt>
                <c:pt idx="64">
                  <c:v>24.057222700336013</c:v>
                </c:pt>
                <c:pt idx="65">
                  <c:v>24.077227981431008</c:v>
                </c:pt>
                <c:pt idx="66">
                  <c:v>24.085955315587</c:v>
                </c:pt>
                <c:pt idx="67">
                  <c:v>24.085944377954036</c:v>
                </c:pt>
                <c:pt idx="68">
                  <c:v>24.102787681883001</c:v>
                </c:pt>
                <c:pt idx="69">
                  <c:v>24.050574889338009</c:v>
                </c:pt>
                <c:pt idx="70">
                  <c:v>23.983357224108033</c:v>
                </c:pt>
                <c:pt idx="71">
                  <c:v>23.910852071744046</c:v>
                </c:pt>
                <c:pt idx="72">
                  <c:v>23.832937342831997</c:v>
                </c:pt>
                <c:pt idx="73">
                  <c:v>23.738977417488002</c:v>
                </c:pt>
                <c:pt idx="74">
                  <c:v>23.639894963086022</c:v>
                </c:pt>
                <c:pt idx="75">
                  <c:v>23.54437646290404</c:v>
                </c:pt>
                <c:pt idx="76">
                  <c:v>23.434400524854027</c:v>
                </c:pt>
                <c:pt idx="77">
                  <c:v>24.465996884755043</c:v>
                </c:pt>
                <c:pt idx="78">
                  <c:v>24.629964099430026</c:v>
                </c:pt>
                <c:pt idx="79">
                  <c:v>24.66593081595704</c:v>
                </c:pt>
                <c:pt idx="80">
                  <c:v>24.668492433759013</c:v>
                </c:pt>
                <c:pt idx="81">
                  <c:v>24.744422406561</c:v>
                </c:pt>
                <c:pt idx="82">
                  <c:v>24.753685951309023</c:v>
                </c:pt>
                <c:pt idx="83">
                  <c:v>24.753352394460023</c:v>
                </c:pt>
                <c:pt idx="84">
                  <c:v>24.74961346989204</c:v>
                </c:pt>
                <c:pt idx="85">
                  <c:v>24.739751173060029</c:v>
                </c:pt>
                <c:pt idx="86">
                  <c:v>24.71971760110705</c:v>
                </c:pt>
                <c:pt idx="87">
                  <c:v>24.692446073524025</c:v>
                </c:pt>
                <c:pt idx="88">
                  <c:v>24.665103395169012</c:v>
                </c:pt>
                <c:pt idx="89">
                  <c:v>24.644647067458038</c:v>
                </c:pt>
                <c:pt idx="90">
                  <c:v>24.630115518482</c:v>
                </c:pt>
                <c:pt idx="91">
                  <c:v>24.616572718904024</c:v>
                </c:pt>
                <c:pt idx="92">
                  <c:v>24.60298576344502</c:v>
                </c:pt>
                <c:pt idx="93">
                  <c:v>24.587660333770998</c:v>
                </c:pt>
                <c:pt idx="94">
                  <c:v>24.573384225991049</c:v>
                </c:pt>
                <c:pt idx="95">
                  <c:v>24.557996644346019</c:v>
                </c:pt>
                <c:pt idx="96">
                  <c:v>24.541482145079044</c:v>
                </c:pt>
                <c:pt idx="97">
                  <c:v>24.526453869608019</c:v>
                </c:pt>
                <c:pt idx="98">
                  <c:v>24.512341952421025</c:v>
                </c:pt>
                <c:pt idx="99">
                  <c:v>24.498166950011012</c:v>
                </c:pt>
                <c:pt idx="100">
                  <c:v>24.483832304914017</c:v>
                </c:pt>
                <c:pt idx="101">
                  <c:v>24.469260847122996</c:v>
                </c:pt>
                <c:pt idx="102">
                  <c:v>24.454100120004</c:v>
                </c:pt>
                <c:pt idx="103">
                  <c:v>24.43827535274005</c:v>
                </c:pt>
                <c:pt idx="104">
                  <c:v>24.421978509784026</c:v>
                </c:pt>
                <c:pt idx="105">
                  <c:v>24.40618778255805</c:v>
                </c:pt>
                <c:pt idx="106">
                  <c:v>24.394172312229045</c:v>
                </c:pt>
                <c:pt idx="107">
                  <c:v>24.386232533181044</c:v>
                </c:pt>
                <c:pt idx="108">
                  <c:v>24.37949277305205</c:v>
                </c:pt>
                <c:pt idx="109">
                  <c:v>24.369951869556019</c:v>
                </c:pt>
                <c:pt idx="110">
                  <c:v>24.356208776599999</c:v>
                </c:pt>
                <c:pt idx="111">
                  <c:v>24.34252736529902</c:v>
                </c:pt>
                <c:pt idx="112">
                  <c:v>24.329901058851021</c:v>
                </c:pt>
                <c:pt idx="113">
                  <c:v>24.320901387646018</c:v>
                </c:pt>
                <c:pt idx="114">
                  <c:v>24.320060355707994</c:v>
                </c:pt>
                <c:pt idx="115">
                  <c:v>24.322334164007998</c:v>
                </c:pt>
                <c:pt idx="116">
                  <c:v>24.336376885409038</c:v>
                </c:pt>
                <c:pt idx="117">
                  <c:v>24.356057445346039</c:v>
                </c:pt>
                <c:pt idx="118">
                  <c:v>24.380466211383009</c:v>
                </c:pt>
                <c:pt idx="119">
                  <c:v>24.408733461169049</c:v>
                </c:pt>
                <c:pt idx="120">
                  <c:v>24.447935134904014</c:v>
                </c:pt>
                <c:pt idx="121">
                  <c:v>24.488583957798028</c:v>
                </c:pt>
                <c:pt idx="122">
                  <c:v>24.532759827950031</c:v>
                </c:pt>
                <c:pt idx="123">
                  <c:v>24.573766659900002</c:v>
                </c:pt>
                <c:pt idx="124">
                  <c:v>24.614484141451044</c:v>
                </c:pt>
                <c:pt idx="125">
                  <c:v>24.272350155058007</c:v>
                </c:pt>
                <c:pt idx="126">
                  <c:v>23.960406737464041</c:v>
                </c:pt>
                <c:pt idx="127">
                  <c:v>23.613671792236005</c:v>
                </c:pt>
                <c:pt idx="128">
                  <c:v>23.433489016354997</c:v>
                </c:pt>
                <c:pt idx="129">
                  <c:v>23.450155030135022</c:v>
                </c:pt>
                <c:pt idx="130">
                  <c:v>23.545679876308043</c:v>
                </c:pt>
                <c:pt idx="131">
                  <c:v>23.662364631143021</c:v>
                </c:pt>
                <c:pt idx="132">
                  <c:v>23.816917652446023</c:v>
                </c:pt>
                <c:pt idx="133">
                  <c:v>23.900387863031028</c:v>
                </c:pt>
                <c:pt idx="134">
                  <c:v>23.945757300834998</c:v>
                </c:pt>
                <c:pt idx="135">
                  <c:v>23.976921753361012</c:v>
                </c:pt>
                <c:pt idx="136">
                  <c:v>24.009793258253012</c:v>
                </c:pt>
                <c:pt idx="137">
                  <c:v>24.035002728513007</c:v>
                </c:pt>
                <c:pt idx="138">
                  <c:v>24.068769569336041</c:v>
                </c:pt>
                <c:pt idx="139">
                  <c:v>24.094862746173021</c:v>
                </c:pt>
                <c:pt idx="140">
                  <c:v>24.121772596314031</c:v>
                </c:pt>
                <c:pt idx="141">
                  <c:v>24.148071821549024</c:v>
                </c:pt>
                <c:pt idx="142">
                  <c:v>24.161347300578996</c:v>
                </c:pt>
                <c:pt idx="143">
                  <c:v>24.183195103985042</c:v>
                </c:pt>
                <c:pt idx="144">
                  <c:v>24.202422441308045</c:v>
                </c:pt>
                <c:pt idx="145">
                  <c:v>24.161416392210015</c:v>
                </c:pt>
                <c:pt idx="146">
                  <c:v>24.182589299890026</c:v>
                </c:pt>
                <c:pt idx="147">
                  <c:v>24.188169871182026</c:v>
                </c:pt>
                <c:pt idx="148">
                  <c:v>24.205784296268007</c:v>
                </c:pt>
                <c:pt idx="149">
                  <c:v>24.339624989643028</c:v>
                </c:pt>
                <c:pt idx="150">
                  <c:v>24.371502423375034</c:v>
                </c:pt>
                <c:pt idx="151">
                  <c:v>24.395322658308999</c:v>
                </c:pt>
                <c:pt idx="152">
                  <c:v>24.420916275025036</c:v>
                </c:pt>
                <c:pt idx="153">
                  <c:v>24.440617851629042</c:v>
                </c:pt>
                <c:pt idx="154">
                  <c:v>24.461380595288006</c:v>
                </c:pt>
                <c:pt idx="155">
                  <c:v>24.477922914564033</c:v>
                </c:pt>
                <c:pt idx="156">
                  <c:v>24.496540817134019</c:v>
                </c:pt>
                <c:pt idx="157">
                  <c:v>24.510285526667019</c:v>
                </c:pt>
                <c:pt idx="158">
                  <c:v>24.525824705070022</c:v>
                </c:pt>
                <c:pt idx="159">
                  <c:v>24.536272024456025</c:v>
                </c:pt>
                <c:pt idx="160">
                  <c:v>24.54816903211605</c:v>
                </c:pt>
                <c:pt idx="161">
                  <c:v>24.553498375749996</c:v>
                </c:pt>
                <c:pt idx="162">
                  <c:v>24.560641496418043</c:v>
                </c:pt>
                <c:pt idx="163">
                  <c:v>24.562604233743002</c:v>
                </c:pt>
                <c:pt idx="164">
                  <c:v>24.564306016855028</c:v>
                </c:pt>
                <c:pt idx="165">
                  <c:v>24.521047734993033</c:v>
                </c:pt>
                <c:pt idx="166">
                  <c:v>24.444109099234026</c:v>
                </c:pt>
                <c:pt idx="167">
                  <c:v>24.368486095066999</c:v>
                </c:pt>
                <c:pt idx="168">
                  <c:v>24.272397876883019</c:v>
                </c:pt>
                <c:pt idx="169">
                  <c:v>24.182178904554007</c:v>
                </c:pt>
                <c:pt idx="170">
                  <c:v>24.086685934853051</c:v>
                </c:pt>
                <c:pt idx="171">
                  <c:v>23.967833000937048</c:v>
                </c:pt>
                <c:pt idx="172">
                  <c:v>23.852462314656009</c:v>
                </c:pt>
                <c:pt idx="173">
                  <c:v>24.96997251042103</c:v>
                </c:pt>
                <c:pt idx="174">
                  <c:v>25.14302169393801</c:v>
                </c:pt>
                <c:pt idx="175">
                  <c:v>25.162111808454995</c:v>
                </c:pt>
                <c:pt idx="176">
                  <c:v>25.189613766055004</c:v>
                </c:pt>
                <c:pt idx="177">
                  <c:v>25.264571289922003</c:v>
                </c:pt>
                <c:pt idx="178">
                  <c:v>25.275110390408997</c:v>
                </c:pt>
                <c:pt idx="179">
                  <c:v>25.272384768492998</c:v>
                </c:pt>
                <c:pt idx="180">
                  <c:v>25.26672307447501</c:v>
                </c:pt>
                <c:pt idx="181">
                  <c:v>25.260578604012039</c:v>
                </c:pt>
                <c:pt idx="182">
                  <c:v>25.255145156861033</c:v>
                </c:pt>
                <c:pt idx="183">
                  <c:v>25.250170414248032</c:v>
                </c:pt>
                <c:pt idx="184">
                  <c:v>25.244693619130999</c:v>
                </c:pt>
                <c:pt idx="185">
                  <c:v>25.237876954778017</c:v>
                </c:pt>
                <c:pt idx="186">
                  <c:v>25.23048514107802</c:v>
                </c:pt>
                <c:pt idx="187">
                  <c:v>25.222941506622021</c:v>
                </c:pt>
                <c:pt idx="188">
                  <c:v>25.214821816644019</c:v>
                </c:pt>
                <c:pt idx="189">
                  <c:v>25.205849480298014</c:v>
                </c:pt>
                <c:pt idx="190">
                  <c:v>25.196125232515044</c:v>
                </c:pt>
                <c:pt idx="191">
                  <c:v>25.185881635422049</c:v>
                </c:pt>
                <c:pt idx="192">
                  <c:v>25.175451730811005</c:v>
                </c:pt>
                <c:pt idx="193">
                  <c:v>25.166370224661023</c:v>
                </c:pt>
                <c:pt idx="194">
                  <c:v>25.157971044025032</c:v>
                </c:pt>
                <c:pt idx="195">
                  <c:v>25.149686240663016</c:v>
                </c:pt>
                <c:pt idx="196">
                  <c:v>25.141589467856022</c:v>
                </c:pt>
                <c:pt idx="197">
                  <c:v>25.134280356790043</c:v>
                </c:pt>
                <c:pt idx="198">
                  <c:v>25.128620316248998</c:v>
                </c:pt>
                <c:pt idx="199">
                  <c:v>25.123682477046998</c:v>
                </c:pt>
                <c:pt idx="200">
                  <c:v>25.118520699566034</c:v>
                </c:pt>
                <c:pt idx="201">
                  <c:v>25.112409961733022</c:v>
                </c:pt>
                <c:pt idx="202">
                  <c:v>25.104291606215043</c:v>
                </c:pt>
                <c:pt idx="203">
                  <c:v>25.094612705850011</c:v>
                </c:pt>
                <c:pt idx="204">
                  <c:v>25.084958435006001</c:v>
                </c:pt>
                <c:pt idx="205">
                  <c:v>25.07748822578003</c:v>
                </c:pt>
                <c:pt idx="206">
                  <c:v>25.073587065862</c:v>
                </c:pt>
                <c:pt idx="207">
                  <c:v>25.071995210967998</c:v>
                </c:pt>
                <c:pt idx="208">
                  <c:v>25.070412545630006</c:v>
                </c:pt>
                <c:pt idx="209">
                  <c:v>25.067498492594041</c:v>
                </c:pt>
                <c:pt idx="210">
                  <c:v>25.062986813052021</c:v>
                </c:pt>
                <c:pt idx="211">
                  <c:v>25.058688303899032</c:v>
                </c:pt>
                <c:pt idx="212">
                  <c:v>25.061020373413044</c:v>
                </c:pt>
                <c:pt idx="213">
                  <c:v>25.073863910737998</c:v>
                </c:pt>
                <c:pt idx="214">
                  <c:v>25.095483432112019</c:v>
                </c:pt>
                <c:pt idx="215">
                  <c:v>25.122682690726037</c:v>
                </c:pt>
                <c:pt idx="216">
                  <c:v>25.151931197520014</c:v>
                </c:pt>
                <c:pt idx="217">
                  <c:v>25.183815145777032</c:v>
                </c:pt>
                <c:pt idx="218">
                  <c:v>25.219583154207044</c:v>
                </c:pt>
                <c:pt idx="219">
                  <c:v>25.257236275493028</c:v>
                </c:pt>
                <c:pt idx="220">
                  <c:v>25.296199520963</c:v>
                </c:pt>
                <c:pt idx="221">
                  <c:v>24.899709188694032</c:v>
                </c:pt>
                <c:pt idx="222">
                  <c:v>24.558638202158022</c:v>
                </c:pt>
                <c:pt idx="223">
                  <c:v>24.183454402089012</c:v>
                </c:pt>
                <c:pt idx="224">
                  <c:v>23.98842903211704</c:v>
                </c:pt>
                <c:pt idx="225">
                  <c:v>24.011379504254023</c:v>
                </c:pt>
                <c:pt idx="226">
                  <c:v>24.092346584912036</c:v>
                </c:pt>
                <c:pt idx="227">
                  <c:v>24.196990281523028</c:v>
                </c:pt>
                <c:pt idx="228">
                  <c:v>24.342110547456002</c:v>
                </c:pt>
                <c:pt idx="229">
                  <c:v>24.420242409937998</c:v>
                </c:pt>
                <c:pt idx="230">
                  <c:v>24.461151812058006</c:v>
                </c:pt>
                <c:pt idx="231">
                  <c:v>24.491547466846043</c:v>
                </c:pt>
                <c:pt idx="232">
                  <c:v>24.531155494432028</c:v>
                </c:pt>
                <c:pt idx="233">
                  <c:v>24.564350878988023</c:v>
                </c:pt>
                <c:pt idx="234">
                  <c:v>24.590295067880049</c:v>
                </c:pt>
                <c:pt idx="235">
                  <c:v>24.623151890250995</c:v>
                </c:pt>
                <c:pt idx="236">
                  <c:v>24.658889537706045</c:v>
                </c:pt>
                <c:pt idx="237">
                  <c:v>24.673472031342044</c:v>
                </c:pt>
                <c:pt idx="238">
                  <c:v>24.700111964952043</c:v>
                </c:pt>
                <c:pt idx="239">
                  <c:v>24.719098608323009</c:v>
                </c:pt>
                <c:pt idx="240">
                  <c:v>24.741144578335025</c:v>
                </c:pt>
                <c:pt idx="241">
                  <c:v>24.695000657162041</c:v>
                </c:pt>
                <c:pt idx="242">
                  <c:v>24.710688831782022</c:v>
                </c:pt>
                <c:pt idx="243">
                  <c:v>24.728121513766041</c:v>
                </c:pt>
                <c:pt idx="244">
                  <c:v>24.746173789685997</c:v>
                </c:pt>
                <c:pt idx="245">
                  <c:v>24.878878346313002</c:v>
                </c:pt>
                <c:pt idx="246">
                  <c:v>24.912961166776995</c:v>
                </c:pt>
                <c:pt idx="247">
                  <c:v>24.942541258293033</c:v>
                </c:pt>
                <c:pt idx="248">
                  <c:v>24.96048221398604</c:v>
                </c:pt>
                <c:pt idx="249">
                  <c:v>24.983193376979045</c:v>
                </c:pt>
                <c:pt idx="250">
                  <c:v>24.995533993902995</c:v>
                </c:pt>
                <c:pt idx="251">
                  <c:v>25.009742898918034</c:v>
                </c:pt>
                <c:pt idx="252">
                  <c:v>25.031354900240046</c:v>
                </c:pt>
                <c:pt idx="253">
                  <c:v>25.041363651965014</c:v>
                </c:pt>
                <c:pt idx="254">
                  <c:v>25.054587129937033</c:v>
                </c:pt>
                <c:pt idx="255">
                  <c:v>25.067199231241034</c:v>
                </c:pt>
                <c:pt idx="256">
                  <c:v>25.074759159984012</c:v>
                </c:pt>
                <c:pt idx="257">
                  <c:v>25.081662566185003</c:v>
                </c:pt>
                <c:pt idx="258">
                  <c:v>25.082756550558031</c:v>
                </c:pt>
                <c:pt idx="259">
                  <c:v>25.079198852030004</c:v>
                </c:pt>
                <c:pt idx="260">
                  <c:v>25.073359169915022</c:v>
                </c:pt>
                <c:pt idx="261">
                  <c:v>25.01825565456403</c:v>
                </c:pt>
                <c:pt idx="262">
                  <c:v>24.941754791038022</c:v>
                </c:pt>
                <c:pt idx="263">
                  <c:v>24.857600919325023</c:v>
                </c:pt>
                <c:pt idx="264">
                  <c:v>24.757128183995007</c:v>
                </c:pt>
                <c:pt idx="265">
                  <c:v>24.656011874838043</c:v>
                </c:pt>
                <c:pt idx="266">
                  <c:v>24.549053431246023</c:v>
                </c:pt>
                <c:pt idx="267">
                  <c:v>24.434322389049044</c:v>
                </c:pt>
                <c:pt idx="268">
                  <c:v>24.321747010743024</c:v>
                </c:pt>
                <c:pt idx="269">
                  <c:v>25.509383838469034</c:v>
                </c:pt>
                <c:pt idx="270">
                  <c:v>25.714794117499025</c:v>
                </c:pt>
                <c:pt idx="271">
                  <c:v>25.757719175187049</c:v>
                </c:pt>
                <c:pt idx="272">
                  <c:v>25.774279198518002</c:v>
                </c:pt>
                <c:pt idx="273">
                  <c:v>25.872135552984048</c:v>
                </c:pt>
                <c:pt idx="274">
                  <c:v>25.881557443171005</c:v>
                </c:pt>
                <c:pt idx="275">
                  <c:v>25.874719791770019</c:v>
                </c:pt>
                <c:pt idx="276">
                  <c:v>25.866025647347044</c:v>
                </c:pt>
                <c:pt idx="277">
                  <c:v>25.860661019309021</c:v>
                </c:pt>
                <c:pt idx="278">
                  <c:v>25.856853488851016</c:v>
                </c:pt>
                <c:pt idx="279">
                  <c:v>25.853033097005039</c:v>
                </c:pt>
                <c:pt idx="280">
                  <c:v>25.849124561903011</c:v>
                </c:pt>
                <c:pt idx="281">
                  <c:v>25.845163115955017</c:v>
                </c:pt>
                <c:pt idx="282">
                  <c:v>25.840927549924004</c:v>
                </c:pt>
                <c:pt idx="283">
                  <c:v>25.836524977769045</c:v>
                </c:pt>
                <c:pt idx="284">
                  <c:v>25.832201215733051</c:v>
                </c:pt>
                <c:pt idx="285">
                  <c:v>25.828216925437005</c:v>
                </c:pt>
                <c:pt idx="286">
                  <c:v>25.824932581002031</c:v>
                </c:pt>
                <c:pt idx="287">
                  <c:v>25.822466938778007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5A-41B7-A8B3-380540233940}"/>
            </c:ext>
          </c:extLst>
        </c:ser>
        <c:ser>
          <c:idx val="4"/>
          <c:order val="4"/>
          <c:tx>
            <c:strRef>
              <c:f>'without compensator'!$V$1</c:f>
              <c:strCache>
                <c:ptCount val="1"/>
                <c:pt idx="0">
                  <c:v>Twes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'without compensator'!$V$2:$V$289</c:f>
              <c:numCache>
                <c:formatCode>General</c:formatCode>
                <c:ptCount val="288"/>
                <c:pt idx="0">
                  <c:v>24</c:v>
                </c:pt>
                <c:pt idx="1">
                  <c:v>23.69467542844103</c:v>
                </c:pt>
                <c:pt idx="2">
                  <c:v>23.850598322456051</c:v>
                </c:pt>
                <c:pt idx="3">
                  <c:v>23.893444335448009</c:v>
                </c:pt>
                <c:pt idx="4">
                  <c:v>23.908895817202051</c:v>
                </c:pt>
                <c:pt idx="5">
                  <c:v>23.914911440619051</c:v>
                </c:pt>
                <c:pt idx="6">
                  <c:v>23.905552923311006</c:v>
                </c:pt>
                <c:pt idx="7">
                  <c:v>23.821082789950026</c:v>
                </c:pt>
                <c:pt idx="8">
                  <c:v>23.875827961569996</c:v>
                </c:pt>
                <c:pt idx="9">
                  <c:v>23.86682156386604</c:v>
                </c:pt>
                <c:pt idx="10">
                  <c:v>23.856230157770028</c:v>
                </c:pt>
                <c:pt idx="11">
                  <c:v>23.847853940610037</c:v>
                </c:pt>
                <c:pt idx="12">
                  <c:v>23.840864645088004</c:v>
                </c:pt>
                <c:pt idx="13">
                  <c:v>23.834675334701046</c:v>
                </c:pt>
                <c:pt idx="14">
                  <c:v>23.826989181949045</c:v>
                </c:pt>
                <c:pt idx="15">
                  <c:v>23.816619820206029</c:v>
                </c:pt>
                <c:pt idx="16">
                  <c:v>23.792208957854029</c:v>
                </c:pt>
                <c:pt idx="17">
                  <c:v>23.725671717950036</c:v>
                </c:pt>
                <c:pt idx="18">
                  <c:v>23.767751287352041</c:v>
                </c:pt>
                <c:pt idx="19">
                  <c:v>23.772570364773003</c:v>
                </c:pt>
                <c:pt idx="20">
                  <c:v>23.770252520111001</c:v>
                </c:pt>
                <c:pt idx="21">
                  <c:v>23.771543837691013</c:v>
                </c:pt>
                <c:pt idx="22">
                  <c:v>23.775303071507039</c:v>
                </c:pt>
                <c:pt idx="23">
                  <c:v>23.740000978622049</c:v>
                </c:pt>
                <c:pt idx="24">
                  <c:v>23.798658790622028</c:v>
                </c:pt>
                <c:pt idx="25">
                  <c:v>23.824390685601998</c:v>
                </c:pt>
                <c:pt idx="26">
                  <c:v>23.861864933379024</c:v>
                </c:pt>
                <c:pt idx="27">
                  <c:v>23.914924049289027</c:v>
                </c:pt>
                <c:pt idx="28">
                  <c:v>23.97524856756803</c:v>
                </c:pt>
                <c:pt idx="29">
                  <c:v>23.57275894286704</c:v>
                </c:pt>
                <c:pt idx="30">
                  <c:v>23.304222025835998</c:v>
                </c:pt>
                <c:pt idx="31">
                  <c:v>22.970757328848038</c:v>
                </c:pt>
                <c:pt idx="32">
                  <c:v>22.802084706895016</c:v>
                </c:pt>
                <c:pt idx="33">
                  <c:v>22.81251437407002</c:v>
                </c:pt>
                <c:pt idx="34">
                  <c:v>22.895637432873002</c:v>
                </c:pt>
                <c:pt idx="35">
                  <c:v>22.997348438409006</c:v>
                </c:pt>
                <c:pt idx="36">
                  <c:v>23.131717476774043</c:v>
                </c:pt>
                <c:pt idx="37">
                  <c:v>23.204637720307005</c:v>
                </c:pt>
                <c:pt idx="38">
                  <c:v>23.248625390439997</c:v>
                </c:pt>
                <c:pt idx="39">
                  <c:v>23.279462374152047</c:v>
                </c:pt>
                <c:pt idx="40">
                  <c:v>23.305109603480048</c:v>
                </c:pt>
                <c:pt idx="41">
                  <c:v>23.338093951611029</c:v>
                </c:pt>
                <c:pt idx="42">
                  <c:v>23.36173235874503</c:v>
                </c:pt>
                <c:pt idx="43">
                  <c:v>23.382911455175019</c:v>
                </c:pt>
                <c:pt idx="44">
                  <c:v>23.403328713599024</c:v>
                </c:pt>
                <c:pt idx="45">
                  <c:v>23.430229155782001</c:v>
                </c:pt>
                <c:pt idx="46">
                  <c:v>23.439730887570022</c:v>
                </c:pt>
                <c:pt idx="47">
                  <c:v>23.464199797244021</c:v>
                </c:pt>
                <c:pt idx="48">
                  <c:v>23.480068286079018</c:v>
                </c:pt>
                <c:pt idx="49">
                  <c:v>23.438469500035012</c:v>
                </c:pt>
                <c:pt idx="50">
                  <c:v>23.461572785884016</c:v>
                </c:pt>
                <c:pt idx="51">
                  <c:v>23.491300955138001</c:v>
                </c:pt>
                <c:pt idx="52">
                  <c:v>23.521620515205996</c:v>
                </c:pt>
                <c:pt idx="53">
                  <c:v>23.678589452363042</c:v>
                </c:pt>
                <c:pt idx="54">
                  <c:v>23.727501309744014</c:v>
                </c:pt>
                <c:pt idx="55">
                  <c:v>23.780846618220039</c:v>
                </c:pt>
                <c:pt idx="56">
                  <c:v>23.845283513711024</c:v>
                </c:pt>
                <c:pt idx="57">
                  <c:v>23.910476707230032</c:v>
                </c:pt>
                <c:pt idx="58">
                  <c:v>23.975784959261034</c:v>
                </c:pt>
                <c:pt idx="59">
                  <c:v>24.054069821426026</c:v>
                </c:pt>
                <c:pt idx="60">
                  <c:v>24.131766646052029</c:v>
                </c:pt>
                <c:pt idx="61">
                  <c:v>24.220525079534013</c:v>
                </c:pt>
                <c:pt idx="62">
                  <c:v>24.323906183128031</c:v>
                </c:pt>
                <c:pt idx="63">
                  <c:v>24.406286497124995</c:v>
                </c:pt>
                <c:pt idx="64">
                  <c:v>24.481851139442028</c:v>
                </c:pt>
                <c:pt idx="65">
                  <c:v>24.563266991076034</c:v>
                </c:pt>
                <c:pt idx="66">
                  <c:v>24.623985358794016</c:v>
                </c:pt>
                <c:pt idx="67">
                  <c:v>24.671279806195002</c:v>
                </c:pt>
                <c:pt idx="68">
                  <c:v>24.731665891171019</c:v>
                </c:pt>
                <c:pt idx="69">
                  <c:v>24.716637565728035</c:v>
                </c:pt>
                <c:pt idx="70">
                  <c:v>24.670272786794044</c:v>
                </c:pt>
                <c:pt idx="71">
                  <c:v>24.608412953481036</c:v>
                </c:pt>
                <c:pt idx="72">
                  <c:v>24.527155548677001</c:v>
                </c:pt>
                <c:pt idx="73">
                  <c:v>24.414666561927049</c:v>
                </c:pt>
                <c:pt idx="74">
                  <c:v>24.291845870939028</c:v>
                </c:pt>
                <c:pt idx="75">
                  <c:v>24.167087958523041</c:v>
                </c:pt>
                <c:pt idx="76">
                  <c:v>24.026741277965016</c:v>
                </c:pt>
                <c:pt idx="77">
                  <c:v>25.268168455010027</c:v>
                </c:pt>
                <c:pt idx="78">
                  <c:v>25.40300683417405</c:v>
                </c:pt>
                <c:pt idx="79">
                  <c:v>25.417495560439022</c:v>
                </c:pt>
                <c:pt idx="80">
                  <c:v>25.409472199897039</c:v>
                </c:pt>
                <c:pt idx="81">
                  <c:v>25.463815795833</c:v>
                </c:pt>
                <c:pt idx="82">
                  <c:v>25.456528464168002</c:v>
                </c:pt>
                <c:pt idx="83">
                  <c:v>25.442169344556021</c:v>
                </c:pt>
                <c:pt idx="84">
                  <c:v>25.425358199391042</c:v>
                </c:pt>
                <c:pt idx="85">
                  <c:v>25.404477038757022</c:v>
                </c:pt>
                <c:pt idx="86">
                  <c:v>25.377024111728019</c:v>
                </c:pt>
                <c:pt idx="87">
                  <c:v>25.344051324006045</c:v>
                </c:pt>
                <c:pt idx="88">
                  <c:v>25.306157579237038</c:v>
                </c:pt>
                <c:pt idx="89">
                  <c:v>25.286743240204999</c:v>
                </c:pt>
                <c:pt idx="90">
                  <c:v>25.265016720883011</c:v>
                </c:pt>
                <c:pt idx="91">
                  <c:v>25.244062115196016</c:v>
                </c:pt>
                <c:pt idx="92">
                  <c:v>25.222517350323017</c:v>
                </c:pt>
                <c:pt idx="93">
                  <c:v>25.200544365403005</c:v>
                </c:pt>
                <c:pt idx="94">
                  <c:v>25.178360148112006</c:v>
                </c:pt>
                <c:pt idx="95">
                  <c:v>25.153967278706034</c:v>
                </c:pt>
                <c:pt idx="96">
                  <c:v>25.111468488057028</c:v>
                </c:pt>
                <c:pt idx="97">
                  <c:v>25.087382960295997</c:v>
                </c:pt>
                <c:pt idx="98">
                  <c:v>25.066310702635008</c:v>
                </c:pt>
                <c:pt idx="99">
                  <c:v>25.046621396364003</c:v>
                </c:pt>
                <c:pt idx="100">
                  <c:v>25.028638716983039</c:v>
                </c:pt>
                <c:pt idx="101">
                  <c:v>25.01267099445505</c:v>
                </c:pt>
                <c:pt idx="102">
                  <c:v>24.99813521168403</c:v>
                </c:pt>
                <c:pt idx="103">
                  <c:v>24.984132871820009</c:v>
                </c:pt>
                <c:pt idx="104">
                  <c:v>24.96917088879502</c:v>
                </c:pt>
                <c:pt idx="105">
                  <c:v>24.951103476057028</c:v>
                </c:pt>
                <c:pt idx="106">
                  <c:v>24.929797193767001</c:v>
                </c:pt>
                <c:pt idx="107">
                  <c:v>24.906687570384008</c:v>
                </c:pt>
                <c:pt idx="108">
                  <c:v>24.884917375907037</c:v>
                </c:pt>
                <c:pt idx="109">
                  <c:v>24.867046722024043</c:v>
                </c:pt>
                <c:pt idx="110">
                  <c:v>24.852726995121031</c:v>
                </c:pt>
                <c:pt idx="111">
                  <c:v>24.843054454151002</c:v>
                </c:pt>
                <c:pt idx="112">
                  <c:v>24.839325584680012</c:v>
                </c:pt>
                <c:pt idx="113">
                  <c:v>24.839465482920048</c:v>
                </c:pt>
                <c:pt idx="114">
                  <c:v>24.834232050848016</c:v>
                </c:pt>
                <c:pt idx="115">
                  <c:v>24.831011423813038</c:v>
                </c:pt>
                <c:pt idx="116">
                  <c:v>24.827886611428028</c:v>
                </c:pt>
                <c:pt idx="117">
                  <c:v>24.827771577088015</c:v>
                </c:pt>
                <c:pt idx="118">
                  <c:v>24.83078673902304</c:v>
                </c:pt>
                <c:pt idx="119">
                  <c:v>24.836805582707996</c:v>
                </c:pt>
                <c:pt idx="120">
                  <c:v>24.847402622332027</c:v>
                </c:pt>
                <c:pt idx="121">
                  <c:v>24.865180140736015</c:v>
                </c:pt>
                <c:pt idx="122">
                  <c:v>24.892891663130001</c:v>
                </c:pt>
                <c:pt idx="123">
                  <c:v>24.927280696941011</c:v>
                </c:pt>
                <c:pt idx="124">
                  <c:v>24.965257957494998</c:v>
                </c:pt>
                <c:pt idx="125">
                  <c:v>24.57403481884603</c:v>
                </c:pt>
                <c:pt idx="126">
                  <c:v>24.140349455411013</c:v>
                </c:pt>
                <c:pt idx="127">
                  <c:v>23.731249437591998</c:v>
                </c:pt>
                <c:pt idx="128">
                  <c:v>23.526984528400021</c:v>
                </c:pt>
                <c:pt idx="129">
                  <c:v>23.522925324864048</c:v>
                </c:pt>
                <c:pt idx="130">
                  <c:v>23.59481402801805</c:v>
                </c:pt>
                <c:pt idx="131">
                  <c:v>23.689518775428041</c:v>
                </c:pt>
                <c:pt idx="132">
                  <c:v>23.823348376417016</c:v>
                </c:pt>
                <c:pt idx="133">
                  <c:v>23.893679916214012</c:v>
                </c:pt>
                <c:pt idx="134">
                  <c:v>23.931045693251008</c:v>
                </c:pt>
                <c:pt idx="135">
                  <c:v>23.954156879282039</c:v>
                </c:pt>
                <c:pt idx="136">
                  <c:v>23.978055706636042</c:v>
                </c:pt>
                <c:pt idx="137">
                  <c:v>23.995300323209051</c:v>
                </c:pt>
                <c:pt idx="138">
                  <c:v>24.021734019531038</c:v>
                </c:pt>
                <c:pt idx="139">
                  <c:v>24.039704622198997</c:v>
                </c:pt>
                <c:pt idx="140">
                  <c:v>24.059291107391005</c:v>
                </c:pt>
                <c:pt idx="141">
                  <c:v>24.078327573596027</c:v>
                </c:pt>
                <c:pt idx="142">
                  <c:v>24.085875186896033</c:v>
                </c:pt>
                <c:pt idx="143">
                  <c:v>24.101342251217034</c:v>
                </c:pt>
                <c:pt idx="144">
                  <c:v>24.115041599416998</c:v>
                </c:pt>
                <c:pt idx="145">
                  <c:v>24.073141822434025</c:v>
                </c:pt>
                <c:pt idx="146">
                  <c:v>24.099391090468032</c:v>
                </c:pt>
                <c:pt idx="147">
                  <c:v>24.118659799350041</c:v>
                </c:pt>
                <c:pt idx="148">
                  <c:v>24.158469784598026</c:v>
                </c:pt>
                <c:pt idx="149">
                  <c:v>24.313979426857031</c:v>
                </c:pt>
                <c:pt idx="150">
                  <c:v>24.382641859925002</c:v>
                </c:pt>
                <c:pt idx="151">
                  <c:v>24.449737775940036</c:v>
                </c:pt>
                <c:pt idx="152">
                  <c:v>24.524626157930015</c:v>
                </c:pt>
                <c:pt idx="153">
                  <c:v>24.598814465521002</c:v>
                </c:pt>
                <c:pt idx="154">
                  <c:v>24.67865649476505</c:v>
                </c:pt>
                <c:pt idx="155">
                  <c:v>24.754458778035996</c:v>
                </c:pt>
                <c:pt idx="156">
                  <c:v>24.833231452109032</c:v>
                </c:pt>
                <c:pt idx="157">
                  <c:v>24.90573250576</c:v>
                </c:pt>
                <c:pt idx="158">
                  <c:v>24.979533260005041</c:v>
                </c:pt>
                <c:pt idx="159">
                  <c:v>25.045883613261026</c:v>
                </c:pt>
                <c:pt idx="160">
                  <c:v>25.109398860886017</c:v>
                </c:pt>
                <c:pt idx="161">
                  <c:v>25.158720307614999</c:v>
                </c:pt>
                <c:pt idx="162">
                  <c:v>25.207727325717997</c:v>
                </c:pt>
                <c:pt idx="163">
                  <c:v>25.245835933064029</c:v>
                </c:pt>
                <c:pt idx="164">
                  <c:v>25.276251454193016</c:v>
                </c:pt>
                <c:pt idx="165">
                  <c:v>25.245712641622049</c:v>
                </c:pt>
                <c:pt idx="166">
                  <c:v>25.177286454330044</c:v>
                </c:pt>
                <c:pt idx="167">
                  <c:v>25.102253135368017</c:v>
                </c:pt>
                <c:pt idx="168">
                  <c:v>24.998109841174028</c:v>
                </c:pt>
                <c:pt idx="169">
                  <c:v>24.890968637123024</c:v>
                </c:pt>
                <c:pt idx="170">
                  <c:v>24.774803237027015</c:v>
                </c:pt>
                <c:pt idx="171">
                  <c:v>24.631493363059008</c:v>
                </c:pt>
                <c:pt idx="172">
                  <c:v>24.48405309789905</c:v>
                </c:pt>
                <c:pt idx="173">
                  <c:v>25.832069053759028</c:v>
                </c:pt>
                <c:pt idx="174">
                  <c:v>25.967880761274046</c:v>
                </c:pt>
                <c:pt idx="175">
                  <c:v>25.968025731910018</c:v>
                </c:pt>
                <c:pt idx="176">
                  <c:v>25.977025092680037</c:v>
                </c:pt>
                <c:pt idx="177">
                  <c:v>26.032375483300996</c:v>
                </c:pt>
                <c:pt idx="178">
                  <c:v>26.02573250271405</c:v>
                </c:pt>
                <c:pt idx="179">
                  <c:v>26.009215360891005</c:v>
                </c:pt>
                <c:pt idx="180">
                  <c:v>25.990398582121031</c:v>
                </c:pt>
                <c:pt idx="181">
                  <c:v>25.971227041933048</c:v>
                </c:pt>
                <c:pt idx="182">
                  <c:v>25.952677508439024</c:v>
                </c:pt>
                <c:pt idx="183">
                  <c:v>25.93464425583602</c:v>
                </c:pt>
                <c:pt idx="184">
                  <c:v>25.91645534195402</c:v>
                </c:pt>
                <c:pt idx="185">
                  <c:v>25.897563979628046</c:v>
                </c:pt>
                <c:pt idx="186">
                  <c:v>25.878769212684006</c:v>
                </c:pt>
                <c:pt idx="187">
                  <c:v>25.860226476912032</c:v>
                </c:pt>
                <c:pt idx="188">
                  <c:v>25.841743294102002</c:v>
                </c:pt>
                <c:pt idx="189">
                  <c:v>25.823026621731003</c:v>
                </c:pt>
                <c:pt idx="190">
                  <c:v>25.804092012430033</c:v>
                </c:pt>
                <c:pt idx="191">
                  <c:v>25.785073552019014</c:v>
                </c:pt>
                <c:pt idx="192">
                  <c:v>25.766262445249026</c:v>
                </c:pt>
                <c:pt idx="193">
                  <c:v>25.748801774204026</c:v>
                </c:pt>
                <c:pt idx="194">
                  <c:v>25.732243390104031</c:v>
                </c:pt>
                <c:pt idx="195">
                  <c:v>25.716242201312014</c:v>
                </c:pt>
                <c:pt idx="196">
                  <c:v>25.700734807780009</c:v>
                </c:pt>
                <c:pt idx="197">
                  <c:v>25.686223255469031</c:v>
                </c:pt>
                <c:pt idx="198">
                  <c:v>25.672620590471013</c:v>
                </c:pt>
                <c:pt idx="199">
                  <c:v>25.650982101997045</c:v>
                </c:pt>
                <c:pt idx="200">
                  <c:v>25.631966422293999</c:v>
                </c:pt>
                <c:pt idx="201">
                  <c:v>25.613899357843025</c:v>
                </c:pt>
                <c:pt idx="202">
                  <c:v>25.593329169468007</c:v>
                </c:pt>
                <c:pt idx="203">
                  <c:v>25.572751723658996</c:v>
                </c:pt>
                <c:pt idx="204">
                  <c:v>25.556516750848004</c:v>
                </c:pt>
                <c:pt idx="205">
                  <c:v>25.551258342156018</c:v>
                </c:pt>
                <c:pt idx="206">
                  <c:v>25.557724867581044</c:v>
                </c:pt>
                <c:pt idx="207">
                  <c:v>25.553841524310997</c:v>
                </c:pt>
                <c:pt idx="208">
                  <c:v>25.545302712002012</c:v>
                </c:pt>
                <c:pt idx="209">
                  <c:v>25.535576837575036</c:v>
                </c:pt>
                <c:pt idx="210">
                  <c:v>25.524706606785003</c:v>
                </c:pt>
                <c:pt idx="211">
                  <c:v>25.51388883454905</c:v>
                </c:pt>
                <c:pt idx="212">
                  <c:v>25.506109316745039</c:v>
                </c:pt>
                <c:pt idx="213">
                  <c:v>25.504462109750023</c:v>
                </c:pt>
                <c:pt idx="214">
                  <c:v>25.508951414479043</c:v>
                </c:pt>
                <c:pt idx="215">
                  <c:v>25.508583891498006</c:v>
                </c:pt>
                <c:pt idx="216">
                  <c:v>25.516972905207012</c:v>
                </c:pt>
                <c:pt idx="217">
                  <c:v>25.534092846390024</c:v>
                </c:pt>
                <c:pt idx="218">
                  <c:v>25.559475915619998</c:v>
                </c:pt>
                <c:pt idx="219">
                  <c:v>25.591189604990007</c:v>
                </c:pt>
                <c:pt idx="220">
                  <c:v>25.625598193873998</c:v>
                </c:pt>
                <c:pt idx="221">
                  <c:v>25.200396161577032</c:v>
                </c:pt>
                <c:pt idx="222">
                  <c:v>24.739818230824994</c:v>
                </c:pt>
                <c:pt idx="223">
                  <c:v>24.303096072811002</c:v>
                </c:pt>
                <c:pt idx="224">
                  <c:v>24.082961784274005</c:v>
                </c:pt>
                <c:pt idx="225">
                  <c:v>24.084048066714047</c:v>
                </c:pt>
                <c:pt idx="226">
                  <c:v>24.142630061917032</c:v>
                </c:pt>
                <c:pt idx="227">
                  <c:v>24.226184870950021</c:v>
                </c:pt>
                <c:pt idx="228">
                  <c:v>24.349896455654005</c:v>
                </c:pt>
                <c:pt idx="229">
                  <c:v>24.414476373427021</c:v>
                </c:pt>
                <c:pt idx="230">
                  <c:v>24.446113533172024</c:v>
                </c:pt>
                <c:pt idx="231">
                  <c:v>24.465806297396</c:v>
                </c:pt>
                <c:pt idx="232">
                  <c:v>24.496046344361048</c:v>
                </c:pt>
                <c:pt idx="233">
                  <c:v>24.519430320127015</c:v>
                </c:pt>
                <c:pt idx="234">
                  <c:v>24.536222897948051</c:v>
                </c:pt>
                <c:pt idx="235">
                  <c:v>24.559761495333021</c:v>
                </c:pt>
                <c:pt idx="236">
                  <c:v>24.588086833478997</c:v>
                </c:pt>
                <c:pt idx="237">
                  <c:v>24.593729808372018</c:v>
                </c:pt>
                <c:pt idx="238">
                  <c:v>24.612627939154038</c:v>
                </c:pt>
                <c:pt idx="239">
                  <c:v>24.623534475648</c:v>
                </c:pt>
                <c:pt idx="240">
                  <c:v>24.638105361032046</c:v>
                </c:pt>
                <c:pt idx="241">
                  <c:v>24.592543953581014</c:v>
                </c:pt>
                <c:pt idx="242">
                  <c:v>24.610977802204047</c:v>
                </c:pt>
                <c:pt idx="243">
                  <c:v>24.64051814183</c:v>
                </c:pt>
                <c:pt idx="244">
                  <c:v>24.677625334765025</c:v>
                </c:pt>
                <c:pt idx="245">
                  <c:v>24.827830088494011</c:v>
                </c:pt>
                <c:pt idx="246">
                  <c:v>24.89168760452003</c:v>
                </c:pt>
                <c:pt idx="247">
                  <c:v>24.956669233972036</c:v>
                </c:pt>
                <c:pt idx="248">
                  <c:v>25.010272124360995</c:v>
                </c:pt>
                <c:pt idx="249">
                  <c:v>25.065554847931026</c:v>
                </c:pt>
                <c:pt idx="250">
                  <c:v>25.105719647867033</c:v>
                </c:pt>
                <c:pt idx="251">
                  <c:v>25.141530850531012</c:v>
                </c:pt>
                <c:pt idx="252">
                  <c:v>25.187679908576001</c:v>
                </c:pt>
                <c:pt idx="253">
                  <c:v>25.232885355173039</c:v>
                </c:pt>
                <c:pt idx="254">
                  <c:v>25.279592464153041</c:v>
                </c:pt>
                <c:pt idx="255">
                  <c:v>25.318449569744018</c:v>
                </c:pt>
                <c:pt idx="256">
                  <c:v>25.342848097847025</c:v>
                </c:pt>
                <c:pt idx="257">
                  <c:v>25.35239212989103</c:v>
                </c:pt>
                <c:pt idx="258">
                  <c:v>25.34981968701004</c:v>
                </c:pt>
                <c:pt idx="259">
                  <c:v>25.34387130298802</c:v>
                </c:pt>
                <c:pt idx="260">
                  <c:v>25.337046456737028</c:v>
                </c:pt>
                <c:pt idx="261">
                  <c:v>25.285795528131018</c:v>
                </c:pt>
                <c:pt idx="262">
                  <c:v>25.212846514626051</c:v>
                </c:pt>
                <c:pt idx="263">
                  <c:v>25.137244879090019</c:v>
                </c:pt>
                <c:pt idx="264">
                  <c:v>25.05383125994905</c:v>
                </c:pt>
                <c:pt idx="265">
                  <c:v>24.952728746470996</c:v>
                </c:pt>
                <c:pt idx="266">
                  <c:v>24.847421562297029</c:v>
                </c:pt>
                <c:pt idx="267">
                  <c:v>24.722959510872045</c:v>
                </c:pt>
                <c:pt idx="268">
                  <c:v>24.599880246594012</c:v>
                </c:pt>
                <c:pt idx="269">
                  <c:v>26.006327148081027</c:v>
                </c:pt>
                <c:pt idx="270">
                  <c:v>26.191153775832049</c:v>
                </c:pt>
                <c:pt idx="271">
                  <c:v>26.223362029461043</c:v>
                </c:pt>
                <c:pt idx="272">
                  <c:v>26.22965599584802</c:v>
                </c:pt>
                <c:pt idx="273">
                  <c:v>26.315313065574003</c:v>
                </c:pt>
                <c:pt idx="274">
                  <c:v>26.321319159497023</c:v>
                </c:pt>
                <c:pt idx="275">
                  <c:v>26.30225881085704</c:v>
                </c:pt>
                <c:pt idx="276">
                  <c:v>26.281948950754042</c:v>
                </c:pt>
                <c:pt idx="277">
                  <c:v>26.267934703330013</c:v>
                </c:pt>
                <c:pt idx="278">
                  <c:v>26.257628812966004</c:v>
                </c:pt>
                <c:pt idx="279">
                  <c:v>26.249232681804017</c:v>
                </c:pt>
                <c:pt idx="280">
                  <c:v>26.237704617695044</c:v>
                </c:pt>
                <c:pt idx="281">
                  <c:v>26.226211510509017</c:v>
                </c:pt>
                <c:pt idx="282">
                  <c:v>26.214740987105017</c:v>
                </c:pt>
                <c:pt idx="283">
                  <c:v>26.203370683405012</c:v>
                </c:pt>
                <c:pt idx="284">
                  <c:v>26.192339501847016</c:v>
                </c:pt>
                <c:pt idx="285">
                  <c:v>26.181971850346031</c:v>
                </c:pt>
                <c:pt idx="286">
                  <c:v>26.172501280984022</c:v>
                </c:pt>
                <c:pt idx="287">
                  <c:v>26.163918243080047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5A-41B7-A8B3-380540233940}"/>
            </c:ext>
          </c:extLst>
        </c:ser>
        <c:ser>
          <c:idx val="5"/>
          <c:order val="5"/>
          <c:tx>
            <c:strRef>
              <c:f>'without compensator'!$W$1</c:f>
              <c:strCache>
                <c:ptCount val="1"/>
                <c:pt idx="0">
                  <c:v>Tcor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'without compensator'!$W$2:$W$289</c:f>
              <c:numCache>
                <c:formatCode>General</c:formatCode>
                <c:ptCount val="288"/>
                <c:pt idx="0">
                  <c:v>24</c:v>
                </c:pt>
                <c:pt idx="1">
                  <c:v>23.900338962670048</c:v>
                </c:pt>
                <c:pt idx="2">
                  <c:v>23.961855934146001</c:v>
                </c:pt>
                <c:pt idx="3">
                  <c:v>23.997560076821003</c:v>
                </c:pt>
                <c:pt idx="4">
                  <c:v>24.015385956761008</c:v>
                </c:pt>
                <c:pt idx="5">
                  <c:v>24.019708187599008</c:v>
                </c:pt>
                <c:pt idx="6">
                  <c:v>24.018405662589998</c:v>
                </c:pt>
                <c:pt idx="7">
                  <c:v>24.013938277516047</c:v>
                </c:pt>
                <c:pt idx="8">
                  <c:v>24.007696867435016</c:v>
                </c:pt>
                <c:pt idx="9">
                  <c:v>23.99577283405705</c:v>
                </c:pt>
                <c:pt idx="10">
                  <c:v>23.986822454983042</c:v>
                </c:pt>
                <c:pt idx="11">
                  <c:v>23.980360992597014</c:v>
                </c:pt>
                <c:pt idx="12">
                  <c:v>23.975329984413008</c:v>
                </c:pt>
                <c:pt idx="13">
                  <c:v>23.971200223251003</c:v>
                </c:pt>
                <c:pt idx="14">
                  <c:v>23.966929029610014</c:v>
                </c:pt>
                <c:pt idx="15">
                  <c:v>23.961783054850002</c:v>
                </c:pt>
                <c:pt idx="16">
                  <c:v>23.955038215548029</c:v>
                </c:pt>
                <c:pt idx="17">
                  <c:v>23.947243758663035</c:v>
                </c:pt>
                <c:pt idx="18">
                  <c:v>23.941202805382034</c:v>
                </c:pt>
                <c:pt idx="19">
                  <c:v>23.935504763512029</c:v>
                </c:pt>
                <c:pt idx="20">
                  <c:v>23.932449221661045</c:v>
                </c:pt>
                <c:pt idx="21">
                  <c:v>23.93087035450003</c:v>
                </c:pt>
                <c:pt idx="22">
                  <c:v>23.935338832061007</c:v>
                </c:pt>
                <c:pt idx="23">
                  <c:v>23.943635031924032</c:v>
                </c:pt>
                <c:pt idx="24">
                  <c:v>23.959312452792005</c:v>
                </c:pt>
                <c:pt idx="25">
                  <c:v>23.975832110671035</c:v>
                </c:pt>
                <c:pt idx="26">
                  <c:v>23.994081339418017</c:v>
                </c:pt>
                <c:pt idx="27">
                  <c:v>24.021923832484049</c:v>
                </c:pt>
                <c:pt idx="28">
                  <c:v>24.055511757868032</c:v>
                </c:pt>
                <c:pt idx="29">
                  <c:v>23.611218588652036</c:v>
                </c:pt>
                <c:pt idx="30">
                  <c:v>22.92894411572405</c:v>
                </c:pt>
                <c:pt idx="31">
                  <c:v>22.378472152840004</c:v>
                </c:pt>
                <c:pt idx="32">
                  <c:v>22.151662929945019</c:v>
                </c:pt>
                <c:pt idx="33">
                  <c:v>22.147751834900021</c:v>
                </c:pt>
                <c:pt idx="34">
                  <c:v>22.194499205675015</c:v>
                </c:pt>
                <c:pt idx="35">
                  <c:v>22.275262977511034</c:v>
                </c:pt>
                <c:pt idx="36">
                  <c:v>22.387313165425041</c:v>
                </c:pt>
                <c:pt idx="37">
                  <c:v>22.439341572740034</c:v>
                </c:pt>
                <c:pt idx="38">
                  <c:v>22.472187166359049</c:v>
                </c:pt>
                <c:pt idx="39">
                  <c:v>22.491347370987</c:v>
                </c:pt>
                <c:pt idx="40">
                  <c:v>22.499688089565041</c:v>
                </c:pt>
                <c:pt idx="41">
                  <c:v>22.51590764244105</c:v>
                </c:pt>
                <c:pt idx="42">
                  <c:v>22.528706271821022</c:v>
                </c:pt>
                <c:pt idx="43">
                  <c:v>22.546882325881995</c:v>
                </c:pt>
                <c:pt idx="44">
                  <c:v>22.547426821529996</c:v>
                </c:pt>
                <c:pt idx="45">
                  <c:v>22.562261172454043</c:v>
                </c:pt>
                <c:pt idx="46">
                  <c:v>22.565606320063011</c:v>
                </c:pt>
                <c:pt idx="47">
                  <c:v>22.573863018200029</c:v>
                </c:pt>
                <c:pt idx="48">
                  <c:v>22.580717165199019</c:v>
                </c:pt>
                <c:pt idx="49">
                  <c:v>22.540134836528011</c:v>
                </c:pt>
                <c:pt idx="50">
                  <c:v>22.536558843031003</c:v>
                </c:pt>
                <c:pt idx="51">
                  <c:v>22.536582435631999</c:v>
                </c:pt>
                <c:pt idx="52">
                  <c:v>22.542954948957004</c:v>
                </c:pt>
                <c:pt idx="53">
                  <c:v>22.657405037979004</c:v>
                </c:pt>
                <c:pt idx="54">
                  <c:v>22.67368777489304</c:v>
                </c:pt>
                <c:pt idx="55">
                  <c:v>22.695538972476015</c:v>
                </c:pt>
                <c:pt idx="56">
                  <c:v>22.704296591552009</c:v>
                </c:pt>
                <c:pt idx="57">
                  <c:v>22.713331509725037</c:v>
                </c:pt>
                <c:pt idx="58">
                  <c:v>22.728122797593016</c:v>
                </c:pt>
                <c:pt idx="59">
                  <c:v>22.739731455794015</c:v>
                </c:pt>
                <c:pt idx="60">
                  <c:v>22.751692241343051</c:v>
                </c:pt>
                <c:pt idx="61">
                  <c:v>22.765952844812034</c:v>
                </c:pt>
                <c:pt idx="62">
                  <c:v>22.794408475401042</c:v>
                </c:pt>
                <c:pt idx="63">
                  <c:v>22.796708587706007</c:v>
                </c:pt>
                <c:pt idx="64">
                  <c:v>22.804680076935028</c:v>
                </c:pt>
                <c:pt idx="65">
                  <c:v>22.822212485891043</c:v>
                </c:pt>
                <c:pt idx="66">
                  <c:v>22.837131143237002</c:v>
                </c:pt>
                <c:pt idx="67">
                  <c:v>22.832643600919027</c:v>
                </c:pt>
                <c:pt idx="68">
                  <c:v>22.854384544395032</c:v>
                </c:pt>
                <c:pt idx="69">
                  <c:v>22.800661700749004</c:v>
                </c:pt>
                <c:pt idx="70">
                  <c:v>22.740440218580034</c:v>
                </c:pt>
                <c:pt idx="71">
                  <c:v>22.669956926758005</c:v>
                </c:pt>
                <c:pt idx="72">
                  <c:v>22.595917074964007</c:v>
                </c:pt>
                <c:pt idx="73">
                  <c:v>22.500721355306041</c:v>
                </c:pt>
                <c:pt idx="74">
                  <c:v>22.413025212424031</c:v>
                </c:pt>
                <c:pt idx="75">
                  <c:v>22.319784161816017</c:v>
                </c:pt>
                <c:pt idx="76">
                  <c:v>22.222323587706001</c:v>
                </c:pt>
                <c:pt idx="77">
                  <c:v>24.132111755330016</c:v>
                </c:pt>
                <c:pt idx="78">
                  <c:v>24.327917648598032</c:v>
                </c:pt>
                <c:pt idx="79">
                  <c:v>24.376297178050038</c:v>
                </c:pt>
                <c:pt idx="80">
                  <c:v>24.393744234826045</c:v>
                </c:pt>
                <c:pt idx="81">
                  <c:v>24.477274329904048</c:v>
                </c:pt>
                <c:pt idx="82">
                  <c:v>24.494074163988046</c:v>
                </c:pt>
                <c:pt idx="83">
                  <c:v>24.501366275016039</c:v>
                </c:pt>
                <c:pt idx="84">
                  <c:v>24.50531304914</c:v>
                </c:pt>
                <c:pt idx="85">
                  <c:v>24.505172071373011</c:v>
                </c:pt>
                <c:pt idx="86">
                  <c:v>24.499437923712037</c:v>
                </c:pt>
                <c:pt idx="87">
                  <c:v>24.491509526653033</c:v>
                </c:pt>
                <c:pt idx="88">
                  <c:v>24.482829940195018</c:v>
                </c:pt>
                <c:pt idx="89">
                  <c:v>24.475999582943018</c:v>
                </c:pt>
                <c:pt idx="90">
                  <c:v>24.47210854614201</c:v>
                </c:pt>
                <c:pt idx="91">
                  <c:v>24.468774738982006</c:v>
                </c:pt>
                <c:pt idx="92">
                  <c:v>24.463957416304027</c:v>
                </c:pt>
                <c:pt idx="93">
                  <c:v>24.458192119713999</c:v>
                </c:pt>
                <c:pt idx="94">
                  <c:v>24.451066804072013</c:v>
                </c:pt>
                <c:pt idx="95">
                  <c:v>24.439178518482038</c:v>
                </c:pt>
                <c:pt idx="96">
                  <c:v>24.428513387648024</c:v>
                </c:pt>
                <c:pt idx="97">
                  <c:v>24.421712504657023</c:v>
                </c:pt>
                <c:pt idx="98">
                  <c:v>24.416538907157019</c:v>
                </c:pt>
                <c:pt idx="99">
                  <c:v>24.411624052137029</c:v>
                </c:pt>
                <c:pt idx="100">
                  <c:v>24.406816644080038</c:v>
                </c:pt>
                <c:pt idx="101">
                  <c:v>24.401995979691037</c:v>
                </c:pt>
                <c:pt idx="102">
                  <c:v>24.396942806252014</c:v>
                </c:pt>
                <c:pt idx="103">
                  <c:v>24.391722308295016</c:v>
                </c:pt>
                <c:pt idx="104">
                  <c:v>24.386633794239003</c:v>
                </c:pt>
                <c:pt idx="105">
                  <c:v>24.381428549545035</c:v>
                </c:pt>
                <c:pt idx="106">
                  <c:v>24.375650709471017</c:v>
                </c:pt>
                <c:pt idx="107">
                  <c:v>24.370221932892036</c:v>
                </c:pt>
                <c:pt idx="108">
                  <c:v>24.365528790424037</c:v>
                </c:pt>
                <c:pt idx="109">
                  <c:v>24.361405687737033</c:v>
                </c:pt>
                <c:pt idx="110">
                  <c:v>24.357083755797021</c:v>
                </c:pt>
                <c:pt idx="111">
                  <c:v>24.352517933930017</c:v>
                </c:pt>
                <c:pt idx="112">
                  <c:v>24.349210303503014</c:v>
                </c:pt>
                <c:pt idx="113">
                  <c:v>24.347300820474004</c:v>
                </c:pt>
                <c:pt idx="114">
                  <c:v>24.355936871197002</c:v>
                </c:pt>
                <c:pt idx="115">
                  <c:v>24.363051246297005</c:v>
                </c:pt>
                <c:pt idx="116">
                  <c:v>24.368737017512046</c:v>
                </c:pt>
                <c:pt idx="117">
                  <c:v>24.377574673080005</c:v>
                </c:pt>
                <c:pt idx="118">
                  <c:v>24.390319422548998</c:v>
                </c:pt>
                <c:pt idx="119">
                  <c:v>24.405817759517049</c:v>
                </c:pt>
                <c:pt idx="120">
                  <c:v>24.42495650604701</c:v>
                </c:pt>
                <c:pt idx="121">
                  <c:v>24.45037040957601</c:v>
                </c:pt>
                <c:pt idx="122">
                  <c:v>24.484766739434008</c:v>
                </c:pt>
                <c:pt idx="123">
                  <c:v>24.524190981997037</c:v>
                </c:pt>
                <c:pt idx="124">
                  <c:v>24.566594112589996</c:v>
                </c:pt>
                <c:pt idx="125">
                  <c:v>24.113896085942997</c:v>
                </c:pt>
                <c:pt idx="126">
                  <c:v>23.333518025107026</c:v>
                </c:pt>
                <c:pt idx="127">
                  <c:v>22.716761981685011</c:v>
                </c:pt>
                <c:pt idx="128">
                  <c:v>22.471469569101998</c:v>
                </c:pt>
                <c:pt idx="129">
                  <c:v>22.462613373511999</c:v>
                </c:pt>
                <c:pt idx="130">
                  <c:v>22.511261909219002</c:v>
                </c:pt>
                <c:pt idx="131">
                  <c:v>22.591647375260038</c:v>
                </c:pt>
                <c:pt idx="132">
                  <c:v>22.719446298027037</c:v>
                </c:pt>
                <c:pt idx="133">
                  <c:v>22.775878797670032</c:v>
                </c:pt>
                <c:pt idx="134">
                  <c:v>22.809380074858041</c:v>
                </c:pt>
                <c:pt idx="135">
                  <c:v>22.826749300125016</c:v>
                </c:pt>
                <c:pt idx="136">
                  <c:v>22.837471205408008</c:v>
                </c:pt>
                <c:pt idx="137">
                  <c:v>22.848571635196038</c:v>
                </c:pt>
                <c:pt idx="138">
                  <c:v>22.868436471763005</c:v>
                </c:pt>
                <c:pt idx="139">
                  <c:v>22.877491848526006</c:v>
                </c:pt>
                <c:pt idx="140">
                  <c:v>22.888449515573996</c:v>
                </c:pt>
                <c:pt idx="141">
                  <c:v>22.89702225429005</c:v>
                </c:pt>
                <c:pt idx="142">
                  <c:v>22.905205860252011</c:v>
                </c:pt>
                <c:pt idx="143">
                  <c:v>22.911894968197998</c:v>
                </c:pt>
                <c:pt idx="144">
                  <c:v>22.923018548969026</c:v>
                </c:pt>
                <c:pt idx="145">
                  <c:v>22.871253963499043</c:v>
                </c:pt>
                <c:pt idx="146">
                  <c:v>22.886655548309022</c:v>
                </c:pt>
                <c:pt idx="147">
                  <c:v>22.879347365202023</c:v>
                </c:pt>
                <c:pt idx="148">
                  <c:v>22.889842540977043</c:v>
                </c:pt>
                <c:pt idx="149">
                  <c:v>23.006911143772015</c:v>
                </c:pt>
                <c:pt idx="150">
                  <c:v>23.031029943584031</c:v>
                </c:pt>
                <c:pt idx="151">
                  <c:v>23.047267544756039</c:v>
                </c:pt>
                <c:pt idx="152">
                  <c:v>23.066771359350014</c:v>
                </c:pt>
                <c:pt idx="153">
                  <c:v>23.080838546394034</c:v>
                </c:pt>
                <c:pt idx="154">
                  <c:v>23.098752024022019</c:v>
                </c:pt>
                <c:pt idx="155">
                  <c:v>23.111133261098018</c:v>
                </c:pt>
                <c:pt idx="156">
                  <c:v>23.127352201793997</c:v>
                </c:pt>
                <c:pt idx="157">
                  <c:v>23.137769371680008</c:v>
                </c:pt>
                <c:pt idx="158">
                  <c:v>23.151830192123043</c:v>
                </c:pt>
                <c:pt idx="159">
                  <c:v>23.160082139024041</c:v>
                </c:pt>
                <c:pt idx="160">
                  <c:v>23.17168264125803</c:v>
                </c:pt>
                <c:pt idx="161">
                  <c:v>23.17628128138</c:v>
                </c:pt>
                <c:pt idx="162">
                  <c:v>23.184984045074032</c:v>
                </c:pt>
                <c:pt idx="163">
                  <c:v>23.187986799747023</c:v>
                </c:pt>
                <c:pt idx="164">
                  <c:v>23.194667191901033</c:v>
                </c:pt>
                <c:pt idx="165">
                  <c:v>23.148623607906018</c:v>
                </c:pt>
                <c:pt idx="166">
                  <c:v>23.075214970913009</c:v>
                </c:pt>
                <c:pt idx="167">
                  <c:v>23.000705303780023</c:v>
                </c:pt>
                <c:pt idx="168">
                  <c:v>22.918528239353009</c:v>
                </c:pt>
                <c:pt idx="169">
                  <c:v>22.829820339208027</c:v>
                </c:pt>
                <c:pt idx="170">
                  <c:v>22.750233448370011</c:v>
                </c:pt>
                <c:pt idx="171">
                  <c:v>22.64841464693302</c:v>
                </c:pt>
                <c:pt idx="172">
                  <c:v>22.540717445639018</c:v>
                </c:pt>
                <c:pt idx="173">
                  <c:v>24.60166956722901</c:v>
                </c:pt>
                <c:pt idx="174">
                  <c:v>24.791367820072026</c:v>
                </c:pt>
                <c:pt idx="175">
                  <c:v>24.820852210079011</c:v>
                </c:pt>
                <c:pt idx="176">
                  <c:v>24.858396248345002</c:v>
                </c:pt>
                <c:pt idx="177">
                  <c:v>24.939856302597036</c:v>
                </c:pt>
                <c:pt idx="178">
                  <c:v>24.957491000583047</c:v>
                </c:pt>
                <c:pt idx="179">
                  <c:v>24.963269571486023</c:v>
                </c:pt>
                <c:pt idx="180">
                  <c:v>24.965823939941004</c:v>
                </c:pt>
                <c:pt idx="181">
                  <c:v>24.967050355090009</c:v>
                </c:pt>
                <c:pt idx="182">
                  <c:v>24.967922359695024</c:v>
                </c:pt>
                <c:pt idx="183">
                  <c:v>24.968450593004036</c:v>
                </c:pt>
                <c:pt idx="184">
                  <c:v>24.968098484742995</c:v>
                </c:pt>
                <c:pt idx="185">
                  <c:v>24.966525165953044</c:v>
                </c:pt>
                <c:pt idx="186">
                  <c:v>24.964851554501024</c:v>
                </c:pt>
                <c:pt idx="187">
                  <c:v>24.963107672855017</c:v>
                </c:pt>
                <c:pt idx="188">
                  <c:v>24.961006548713044</c:v>
                </c:pt>
                <c:pt idx="189">
                  <c:v>24.95813401390302</c:v>
                </c:pt>
                <c:pt idx="190">
                  <c:v>24.954610986310001</c:v>
                </c:pt>
                <c:pt idx="191">
                  <c:v>24.950607652832048</c:v>
                </c:pt>
                <c:pt idx="192">
                  <c:v>24.946568046970015</c:v>
                </c:pt>
                <c:pt idx="193">
                  <c:v>24.943540567371997</c:v>
                </c:pt>
                <c:pt idx="194">
                  <c:v>24.941343345574012</c:v>
                </c:pt>
                <c:pt idx="195">
                  <c:v>24.939739886804034</c:v>
                </c:pt>
                <c:pt idx="196">
                  <c:v>24.938474610934009</c:v>
                </c:pt>
                <c:pt idx="197">
                  <c:v>24.938103085600005</c:v>
                </c:pt>
                <c:pt idx="198">
                  <c:v>24.939198719795002</c:v>
                </c:pt>
                <c:pt idx="199">
                  <c:v>24.939418866539995</c:v>
                </c:pt>
                <c:pt idx="200">
                  <c:v>24.938899886377044</c:v>
                </c:pt>
                <c:pt idx="201">
                  <c:v>24.937487648002048</c:v>
                </c:pt>
                <c:pt idx="202">
                  <c:v>24.934120990015003</c:v>
                </c:pt>
                <c:pt idx="203">
                  <c:v>24.929450782998003</c:v>
                </c:pt>
                <c:pt idx="204">
                  <c:v>24.92504242423604</c:v>
                </c:pt>
                <c:pt idx="205">
                  <c:v>24.922842318505047</c:v>
                </c:pt>
                <c:pt idx="206">
                  <c:v>24.923847931478008</c:v>
                </c:pt>
                <c:pt idx="207">
                  <c:v>24.925717910334015</c:v>
                </c:pt>
                <c:pt idx="208">
                  <c:v>24.926648535653044</c:v>
                </c:pt>
                <c:pt idx="209">
                  <c:v>24.926050844497013</c:v>
                </c:pt>
                <c:pt idx="210">
                  <c:v>24.924232834116026</c:v>
                </c:pt>
                <c:pt idx="211">
                  <c:v>24.922340896158005</c:v>
                </c:pt>
                <c:pt idx="212">
                  <c:v>24.923188807039026</c:v>
                </c:pt>
                <c:pt idx="213">
                  <c:v>24.930321718498021</c:v>
                </c:pt>
                <c:pt idx="214">
                  <c:v>24.94424072937403</c:v>
                </c:pt>
                <c:pt idx="215">
                  <c:v>24.960751838996998</c:v>
                </c:pt>
                <c:pt idx="216">
                  <c:v>24.979284611920036</c:v>
                </c:pt>
                <c:pt idx="217">
                  <c:v>25.001538112553021</c:v>
                </c:pt>
                <c:pt idx="218">
                  <c:v>25.028838050971046</c:v>
                </c:pt>
                <c:pt idx="219">
                  <c:v>25.061208242580051</c:v>
                </c:pt>
                <c:pt idx="220">
                  <c:v>25.09661084955701</c:v>
                </c:pt>
                <c:pt idx="221">
                  <c:v>24.626960863148042</c:v>
                </c:pt>
                <c:pt idx="222">
                  <c:v>23.789094491818048</c:v>
                </c:pt>
                <c:pt idx="223">
                  <c:v>23.127138644354034</c:v>
                </c:pt>
                <c:pt idx="224">
                  <c:v>22.86459871053205</c:v>
                </c:pt>
                <c:pt idx="225">
                  <c:v>22.841389971283036</c:v>
                </c:pt>
                <c:pt idx="226">
                  <c:v>22.882424245956031</c:v>
                </c:pt>
                <c:pt idx="227">
                  <c:v>22.96067656718003</c:v>
                </c:pt>
                <c:pt idx="228">
                  <c:v>23.075953065418048</c:v>
                </c:pt>
                <c:pt idx="229">
                  <c:v>23.132930275029025</c:v>
                </c:pt>
                <c:pt idx="230">
                  <c:v>23.162267075618047</c:v>
                </c:pt>
                <c:pt idx="231">
                  <c:v>23.168675352671016</c:v>
                </c:pt>
                <c:pt idx="232">
                  <c:v>23.189018695966013</c:v>
                </c:pt>
                <c:pt idx="233">
                  <c:v>23.203094474319016</c:v>
                </c:pt>
                <c:pt idx="234">
                  <c:v>23.215873540111033</c:v>
                </c:pt>
                <c:pt idx="235">
                  <c:v>23.227913556022997</c:v>
                </c:pt>
                <c:pt idx="236">
                  <c:v>23.253613762416023</c:v>
                </c:pt>
                <c:pt idx="237">
                  <c:v>23.248861197954</c:v>
                </c:pt>
                <c:pt idx="238">
                  <c:v>23.260802098190027</c:v>
                </c:pt>
                <c:pt idx="239">
                  <c:v>23.265143399673036</c:v>
                </c:pt>
                <c:pt idx="240">
                  <c:v>23.274207011470025</c:v>
                </c:pt>
                <c:pt idx="241">
                  <c:v>23.229953353597011</c:v>
                </c:pt>
                <c:pt idx="242">
                  <c:v>23.226936027671002</c:v>
                </c:pt>
                <c:pt idx="243">
                  <c:v>23.232061283248015</c:v>
                </c:pt>
                <c:pt idx="244">
                  <c:v>23.243742871400002</c:v>
                </c:pt>
                <c:pt idx="245">
                  <c:v>23.358224337883996</c:v>
                </c:pt>
                <c:pt idx="246">
                  <c:v>23.380925857338013</c:v>
                </c:pt>
                <c:pt idx="247">
                  <c:v>23.399556399336007</c:v>
                </c:pt>
                <c:pt idx="248">
                  <c:v>23.411091769893005</c:v>
                </c:pt>
                <c:pt idx="249">
                  <c:v>23.421252598275998</c:v>
                </c:pt>
                <c:pt idx="250">
                  <c:v>23.438345613310048</c:v>
                </c:pt>
                <c:pt idx="251">
                  <c:v>23.455738707711021</c:v>
                </c:pt>
                <c:pt idx="252">
                  <c:v>23.471050062508027</c:v>
                </c:pt>
                <c:pt idx="253">
                  <c:v>23.48392934122603</c:v>
                </c:pt>
                <c:pt idx="254">
                  <c:v>23.48469012730601</c:v>
                </c:pt>
                <c:pt idx="255">
                  <c:v>23.487659891269004</c:v>
                </c:pt>
                <c:pt idx="256">
                  <c:v>23.495312535467008</c:v>
                </c:pt>
                <c:pt idx="257">
                  <c:v>23.499712429757039</c:v>
                </c:pt>
                <c:pt idx="258">
                  <c:v>23.502194325202026</c:v>
                </c:pt>
                <c:pt idx="259">
                  <c:v>23.504295748590039</c:v>
                </c:pt>
                <c:pt idx="260">
                  <c:v>23.504444100601006</c:v>
                </c:pt>
                <c:pt idx="261">
                  <c:v>23.458833566175031</c:v>
                </c:pt>
                <c:pt idx="262">
                  <c:v>23.391003263049015</c:v>
                </c:pt>
                <c:pt idx="263">
                  <c:v>23.302208926695016</c:v>
                </c:pt>
                <c:pt idx="264">
                  <c:v>23.206176129884</c:v>
                </c:pt>
                <c:pt idx="265">
                  <c:v>23.104611116111016</c:v>
                </c:pt>
                <c:pt idx="266">
                  <c:v>23.022315004386996</c:v>
                </c:pt>
                <c:pt idx="267">
                  <c:v>22.919384266193049</c:v>
                </c:pt>
                <c:pt idx="268">
                  <c:v>22.823348413682027</c:v>
                </c:pt>
                <c:pt idx="269">
                  <c:v>24.971196873676035</c:v>
                </c:pt>
                <c:pt idx="270">
                  <c:v>25.196450859129015</c:v>
                </c:pt>
                <c:pt idx="271">
                  <c:v>25.246566084271024</c:v>
                </c:pt>
                <c:pt idx="272">
                  <c:v>25.268862657137049</c:v>
                </c:pt>
                <c:pt idx="273">
                  <c:v>25.377466635722044</c:v>
                </c:pt>
                <c:pt idx="274">
                  <c:v>25.393861618930032</c:v>
                </c:pt>
                <c:pt idx="275">
                  <c:v>25.397032904322998</c:v>
                </c:pt>
                <c:pt idx="276">
                  <c:v>25.398290448527007</c:v>
                </c:pt>
                <c:pt idx="277">
                  <c:v>25.401380153685011</c:v>
                </c:pt>
                <c:pt idx="278">
                  <c:v>25.404601016137008</c:v>
                </c:pt>
                <c:pt idx="279">
                  <c:v>25.40693089273401</c:v>
                </c:pt>
                <c:pt idx="280">
                  <c:v>25.40860453736201</c:v>
                </c:pt>
                <c:pt idx="281">
                  <c:v>25.410321973287012</c:v>
                </c:pt>
                <c:pt idx="282">
                  <c:v>25.411710325488002</c:v>
                </c:pt>
                <c:pt idx="283">
                  <c:v>25.412866328805023</c:v>
                </c:pt>
                <c:pt idx="284">
                  <c:v>25.41406347731305</c:v>
                </c:pt>
                <c:pt idx="285">
                  <c:v>25.415645327077016</c:v>
                </c:pt>
                <c:pt idx="286">
                  <c:v>25.417829277190037</c:v>
                </c:pt>
                <c:pt idx="287">
                  <c:v>25.42057683692201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5A-41B7-A8B3-380540233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514640"/>
        <c:axId val="585285184"/>
      </c:lineChart>
      <c:catAx>
        <c:axId val="547514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3-day simulation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85184"/>
        <c:crosses val="autoZero"/>
        <c:auto val="1"/>
        <c:lblAlgn val="ctr"/>
        <c:lblOffset val="100"/>
        <c:noMultiLvlLbl val="0"/>
      </c:catAx>
      <c:valAx>
        <c:axId val="585285184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[C]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51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 temperature Measurement Under Core Zone Attack </a:t>
            </a:r>
            <a:r>
              <a:rPr lang="en-US" b="1"/>
              <a:t>with Compensator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'with compensator'!$R$1</c:f>
              <c:strCache>
                <c:ptCount val="1"/>
                <c:pt idx="0">
                  <c:v>Cooling 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'with compensator'!$R$2:$R$289</c:f>
              <c:numCache>
                <c:formatCode>General</c:formatCode>
                <c:ptCount val="28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B-4E2D-B34F-C0E0AD18C720}"/>
            </c:ext>
          </c:extLst>
        </c:ser>
        <c:ser>
          <c:idx val="1"/>
          <c:order val="1"/>
          <c:tx>
            <c:strRef>
              <c:f>'with compensator'!$S$1</c:f>
              <c:strCache>
                <c:ptCount val="1"/>
                <c:pt idx="0">
                  <c:v>Tsou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'with compensator'!$S$2:$S$289</c:f>
              <c:numCache>
                <c:formatCode>General</c:formatCode>
                <c:ptCount val="288"/>
                <c:pt idx="0">
                  <c:v>24</c:v>
                </c:pt>
                <c:pt idx="1">
                  <c:v>23.720311600000002</c:v>
                </c:pt>
                <c:pt idx="2">
                  <c:v>23.781726200000037</c:v>
                </c:pt>
                <c:pt idx="3">
                  <c:v>23.876480200000003</c:v>
                </c:pt>
                <c:pt idx="4">
                  <c:v>23.901016500000026</c:v>
                </c:pt>
                <c:pt idx="5">
                  <c:v>23.906538100000034</c:v>
                </c:pt>
                <c:pt idx="6">
                  <c:v>23.826233100000024</c:v>
                </c:pt>
                <c:pt idx="7">
                  <c:v>23.868777500000022</c:v>
                </c:pt>
                <c:pt idx="8">
                  <c:v>23.874762599999997</c:v>
                </c:pt>
                <c:pt idx="9">
                  <c:v>23.861234000000024</c:v>
                </c:pt>
                <c:pt idx="10">
                  <c:v>23.849775399999999</c:v>
                </c:pt>
                <c:pt idx="11">
                  <c:v>23.840420900000026</c:v>
                </c:pt>
                <c:pt idx="12">
                  <c:v>23.832419100000038</c:v>
                </c:pt>
                <c:pt idx="13">
                  <c:v>23.825205100000005</c:v>
                </c:pt>
                <c:pt idx="14">
                  <c:v>23.816443900000024</c:v>
                </c:pt>
                <c:pt idx="15">
                  <c:v>23.80546030000005</c:v>
                </c:pt>
                <c:pt idx="16">
                  <c:v>23.793410700000038</c:v>
                </c:pt>
                <c:pt idx="17">
                  <c:v>23.779064600000027</c:v>
                </c:pt>
                <c:pt idx="18">
                  <c:v>23.689723100000037</c:v>
                </c:pt>
                <c:pt idx="19">
                  <c:v>23.746267000000046</c:v>
                </c:pt>
                <c:pt idx="20">
                  <c:v>23.752229900000032</c:v>
                </c:pt>
                <c:pt idx="21">
                  <c:v>23.753002800000047</c:v>
                </c:pt>
                <c:pt idx="22">
                  <c:v>23.713445000000036</c:v>
                </c:pt>
                <c:pt idx="23">
                  <c:v>23.751443700000038</c:v>
                </c:pt>
                <c:pt idx="24">
                  <c:v>23.786392000000035</c:v>
                </c:pt>
                <c:pt idx="25">
                  <c:v>23.809010300000011</c:v>
                </c:pt>
                <c:pt idx="26">
                  <c:v>23.83191400000004</c:v>
                </c:pt>
                <c:pt idx="27">
                  <c:v>23.86051690000005</c:v>
                </c:pt>
                <c:pt idx="28">
                  <c:v>23.9036112</c:v>
                </c:pt>
                <c:pt idx="29">
                  <c:v>23.763715900000022</c:v>
                </c:pt>
                <c:pt idx="30">
                  <c:v>23.737593700000048</c:v>
                </c:pt>
                <c:pt idx="31">
                  <c:v>23.793150600000047</c:v>
                </c:pt>
                <c:pt idx="32">
                  <c:v>23.833345699999995</c:v>
                </c:pt>
                <c:pt idx="33">
                  <c:v>24.008649600000012</c:v>
                </c:pt>
                <c:pt idx="34">
                  <c:v>24.322964900000045</c:v>
                </c:pt>
                <c:pt idx="35">
                  <c:v>24.656879100000026</c:v>
                </c:pt>
                <c:pt idx="36">
                  <c:v>24.967816500000026</c:v>
                </c:pt>
                <c:pt idx="37">
                  <c:v>25.168091500000003</c:v>
                </c:pt>
                <c:pt idx="38">
                  <c:v>25.307188900000028</c:v>
                </c:pt>
                <c:pt idx="39">
                  <c:v>25.447765500000003</c:v>
                </c:pt>
                <c:pt idx="40">
                  <c:v>25.58934320000003</c:v>
                </c:pt>
                <c:pt idx="41">
                  <c:v>25.7075289</c:v>
                </c:pt>
                <c:pt idx="42">
                  <c:v>25.811365300000034</c:v>
                </c:pt>
                <c:pt idx="43">
                  <c:v>25.902460100000042</c:v>
                </c:pt>
                <c:pt idx="44">
                  <c:v>25.948216600000023</c:v>
                </c:pt>
                <c:pt idx="45">
                  <c:v>25.867257300000006</c:v>
                </c:pt>
                <c:pt idx="46">
                  <c:v>25.824178900000049</c:v>
                </c:pt>
                <c:pt idx="47">
                  <c:v>25.833349200000043</c:v>
                </c:pt>
                <c:pt idx="48">
                  <c:v>25.660678800000028</c:v>
                </c:pt>
                <c:pt idx="49">
                  <c:v>25.754288400000007</c:v>
                </c:pt>
                <c:pt idx="50">
                  <c:v>25.886209600000029</c:v>
                </c:pt>
                <c:pt idx="51">
                  <c:v>26.010638100000051</c:v>
                </c:pt>
                <c:pt idx="52">
                  <c:v>26.06599970000002</c:v>
                </c:pt>
                <c:pt idx="53">
                  <c:v>26.25978120000002</c:v>
                </c:pt>
                <c:pt idx="54">
                  <c:v>26.185070300000007</c:v>
                </c:pt>
                <c:pt idx="55">
                  <c:v>25.934078100000022</c:v>
                </c:pt>
                <c:pt idx="56">
                  <c:v>25.780686200000048</c:v>
                </c:pt>
                <c:pt idx="57">
                  <c:v>25.927537600000051</c:v>
                </c:pt>
                <c:pt idx="58">
                  <c:v>26.111660700000016</c:v>
                </c:pt>
                <c:pt idx="59">
                  <c:v>26.053657799999996</c:v>
                </c:pt>
                <c:pt idx="60">
                  <c:v>25.887088900000037</c:v>
                </c:pt>
                <c:pt idx="61">
                  <c:v>25.989633000000026</c:v>
                </c:pt>
                <c:pt idx="62">
                  <c:v>26.182630000000017</c:v>
                </c:pt>
                <c:pt idx="63">
                  <c:v>26.085823700000049</c:v>
                </c:pt>
                <c:pt idx="64">
                  <c:v>25.980539399999998</c:v>
                </c:pt>
                <c:pt idx="65">
                  <c:v>26.050833300000022</c:v>
                </c:pt>
                <c:pt idx="66">
                  <c:v>25.973172000000034</c:v>
                </c:pt>
                <c:pt idx="67">
                  <c:v>25.650193300000012</c:v>
                </c:pt>
                <c:pt idx="68">
                  <c:v>25.763122400000043</c:v>
                </c:pt>
                <c:pt idx="69">
                  <c:v>26.182197300000041</c:v>
                </c:pt>
                <c:pt idx="70">
                  <c:v>26.160963700000025</c:v>
                </c:pt>
                <c:pt idx="71">
                  <c:v>25.648216100000013</c:v>
                </c:pt>
                <c:pt idx="72">
                  <c:v>25.614030800000023</c:v>
                </c:pt>
                <c:pt idx="73">
                  <c:v>25.708099500000003</c:v>
                </c:pt>
                <c:pt idx="74">
                  <c:v>25.569838000000004</c:v>
                </c:pt>
                <c:pt idx="75">
                  <c:v>25.611947000000043</c:v>
                </c:pt>
                <c:pt idx="76">
                  <c:v>25.628302399999995</c:v>
                </c:pt>
                <c:pt idx="77">
                  <c:v>26.155642</c:v>
                </c:pt>
                <c:pt idx="78">
                  <c:v>26.197950000000048</c:v>
                </c:pt>
                <c:pt idx="79">
                  <c:v>26.159975200000019</c:v>
                </c:pt>
                <c:pt idx="80">
                  <c:v>26.130563400000028</c:v>
                </c:pt>
                <c:pt idx="81">
                  <c:v>26.181719100000009</c:v>
                </c:pt>
                <c:pt idx="82">
                  <c:v>26.18038150000001</c:v>
                </c:pt>
                <c:pt idx="83">
                  <c:v>26.173500600000011</c:v>
                </c:pt>
                <c:pt idx="84">
                  <c:v>26.162559500000043</c:v>
                </c:pt>
                <c:pt idx="85">
                  <c:v>26.140174400000035</c:v>
                </c:pt>
                <c:pt idx="86">
                  <c:v>26.105111700000009</c:v>
                </c:pt>
                <c:pt idx="87">
                  <c:v>26.077317500000049</c:v>
                </c:pt>
                <c:pt idx="88">
                  <c:v>26.059876099999997</c:v>
                </c:pt>
                <c:pt idx="89">
                  <c:v>26.03680920000005</c:v>
                </c:pt>
                <c:pt idx="90">
                  <c:v>26.031350900000007</c:v>
                </c:pt>
                <c:pt idx="91">
                  <c:v>26.02177370000004</c:v>
                </c:pt>
                <c:pt idx="92">
                  <c:v>26.006952300000023</c:v>
                </c:pt>
                <c:pt idx="93">
                  <c:v>25.99014980000004</c:v>
                </c:pt>
                <c:pt idx="94">
                  <c:v>25.971544900000026</c:v>
                </c:pt>
                <c:pt idx="95">
                  <c:v>25.917747100000042</c:v>
                </c:pt>
                <c:pt idx="96">
                  <c:v>25.898724300000026</c:v>
                </c:pt>
                <c:pt idx="97">
                  <c:v>25.883686400000045</c:v>
                </c:pt>
                <c:pt idx="98">
                  <c:v>25.8679889</c:v>
                </c:pt>
                <c:pt idx="99">
                  <c:v>25.850797400000033</c:v>
                </c:pt>
                <c:pt idx="100">
                  <c:v>25.830866000000015</c:v>
                </c:pt>
                <c:pt idx="101">
                  <c:v>25.807829300000037</c:v>
                </c:pt>
                <c:pt idx="102">
                  <c:v>25.783258000000046</c:v>
                </c:pt>
                <c:pt idx="103">
                  <c:v>25.759132800000032</c:v>
                </c:pt>
                <c:pt idx="104">
                  <c:v>25.737211900000034</c:v>
                </c:pt>
                <c:pt idx="105">
                  <c:v>25.715236000000004</c:v>
                </c:pt>
                <c:pt idx="106">
                  <c:v>25.690473900000029</c:v>
                </c:pt>
                <c:pt idx="107">
                  <c:v>25.66804860000002</c:v>
                </c:pt>
                <c:pt idx="108">
                  <c:v>25.650196200000039</c:v>
                </c:pt>
                <c:pt idx="109">
                  <c:v>25.633932300000026</c:v>
                </c:pt>
                <c:pt idx="110">
                  <c:v>25.615542300000016</c:v>
                </c:pt>
                <c:pt idx="111">
                  <c:v>25.597440400000039</c:v>
                </c:pt>
                <c:pt idx="112">
                  <c:v>25.585122500000011</c:v>
                </c:pt>
                <c:pt idx="113">
                  <c:v>25.584210900000016</c:v>
                </c:pt>
                <c:pt idx="114">
                  <c:v>25.647503200000017</c:v>
                </c:pt>
                <c:pt idx="115">
                  <c:v>25.659532200000001</c:v>
                </c:pt>
                <c:pt idx="116">
                  <c:v>25.660706900000037</c:v>
                </c:pt>
                <c:pt idx="117">
                  <c:v>25.6640534</c:v>
                </c:pt>
                <c:pt idx="118">
                  <c:v>25.669726600000047</c:v>
                </c:pt>
                <c:pt idx="119">
                  <c:v>25.678260100000045</c:v>
                </c:pt>
                <c:pt idx="120">
                  <c:v>25.692629100000033</c:v>
                </c:pt>
                <c:pt idx="121">
                  <c:v>25.715031699999997</c:v>
                </c:pt>
                <c:pt idx="122">
                  <c:v>25.748891700000001</c:v>
                </c:pt>
                <c:pt idx="123">
                  <c:v>25.791230900000016</c:v>
                </c:pt>
                <c:pt idx="124">
                  <c:v>25.837996900000007</c:v>
                </c:pt>
                <c:pt idx="125">
                  <c:v>25.574368900000024</c:v>
                </c:pt>
                <c:pt idx="126">
                  <c:v>25.38625380000002</c:v>
                </c:pt>
                <c:pt idx="127">
                  <c:v>25.376332400000024</c:v>
                </c:pt>
                <c:pt idx="128">
                  <c:v>25.354484000000014</c:v>
                </c:pt>
                <c:pt idx="129">
                  <c:v>25.657322399999998</c:v>
                </c:pt>
                <c:pt idx="130">
                  <c:v>26.065694699999995</c:v>
                </c:pt>
                <c:pt idx="131">
                  <c:v>26.350466700000027</c:v>
                </c:pt>
                <c:pt idx="132">
                  <c:v>26.297800300000006</c:v>
                </c:pt>
                <c:pt idx="133">
                  <c:v>25.759256100000016</c:v>
                </c:pt>
                <c:pt idx="134">
                  <c:v>25.57308740000002</c:v>
                </c:pt>
                <c:pt idx="135">
                  <c:v>25.851507000000026</c:v>
                </c:pt>
                <c:pt idx="136">
                  <c:v>26.039017999999999</c:v>
                </c:pt>
                <c:pt idx="137">
                  <c:v>26.252280400000018</c:v>
                </c:pt>
                <c:pt idx="138">
                  <c:v>26.63351560000001</c:v>
                </c:pt>
                <c:pt idx="139">
                  <c:v>26.408259600000008</c:v>
                </c:pt>
                <c:pt idx="140">
                  <c:v>25.683401700000047</c:v>
                </c:pt>
                <c:pt idx="141">
                  <c:v>25.784958600000039</c:v>
                </c:pt>
                <c:pt idx="142">
                  <c:v>26.15926440000004</c:v>
                </c:pt>
                <c:pt idx="143">
                  <c:v>26.040247899999997</c:v>
                </c:pt>
                <c:pt idx="144">
                  <c:v>25.730584300000032</c:v>
                </c:pt>
                <c:pt idx="145">
                  <c:v>26.580408900000009</c:v>
                </c:pt>
                <c:pt idx="146">
                  <c:v>26.909309800000017</c:v>
                </c:pt>
                <c:pt idx="147">
                  <c:v>26.450581400000033</c:v>
                </c:pt>
                <c:pt idx="148">
                  <c:v>25.671681599999999</c:v>
                </c:pt>
                <c:pt idx="149">
                  <c:v>26.217351000000008</c:v>
                </c:pt>
                <c:pt idx="150">
                  <c:v>26.583413600000029</c:v>
                </c:pt>
                <c:pt idx="151">
                  <c:v>26.390082000000007</c:v>
                </c:pt>
                <c:pt idx="152">
                  <c:v>26.085811100000001</c:v>
                </c:pt>
                <c:pt idx="153">
                  <c:v>26.650584200000026</c:v>
                </c:pt>
                <c:pt idx="154">
                  <c:v>26.545028700000046</c:v>
                </c:pt>
                <c:pt idx="155">
                  <c:v>25.854500400000006</c:v>
                </c:pt>
                <c:pt idx="156">
                  <c:v>25.955753900000047</c:v>
                </c:pt>
                <c:pt idx="157">
                  <c:v>26.706521600000031</c:v>
                </c:pt>
                <c:pt idx="158">
                  <c:v>26.490298400000029</c:v>
                </c:pt>
                <c:pt idx="159">
                  <c:v>25.87508200000002</c:v>
                </c:pt>
                <c:pt idx="160">
                  <c:v>26.350645799999995</c:v>
                </c:pt>
                <c:pt idx="161">
                  <c:v>26.803491600000029</c:v>
                </c:pt>
                <c:pt idx="162">
                  <c:v>26.428801200000009</c:v>
                </c:pt>
                <c:pt idx="163">
                  <c:v>25.751046599999995</c:v>
                </c:pt>
                <c:pt idx="164">
                  <c:v>26.096656800000005</c:v>
                </c:pt>
                <c:pt idx="165">
                  <c:v>26.485521200000051</c:v>
                </c:pt>
                <c:pt idx="166">
                  <c:v>26.063616100000047</c:v>
                </c:pt>
                <c:pt idx="167">
                  <c:v>25.771748800000012</c:v>
                </c:pt>
                <c:pt idx="168">
                  <c:v>26.460604900000021</c:v>
                </c:pt>
                <c:pt idx="169">
                  <c:v>26.441044200000022</c:v>
                </c:pt>
                <c:pt idx="170">
                  <c:v>25.670829400000002</c:v>
                </c:pt>
                <c:pt idx="171">
                  <c:v>25.635578900000041</c:v>
                </c:pt>
                <c:pt idx="172">
                  <c:v>26.086652900000047</c:v>
                </c:pt>
                <c:pt idx="173">
                  <c:v>27.052895599999999</c:v>
                </c:pt>
                <c:pt idx="174">
                  <c:v>27.140888800000027</c:v>
                </c:pt>
                <c:pt idx="175">
                  <c:v>27.074117000000001</c:v>
                </c:pt>
                <c:pt idx="176">
                  <c:v>27.050605800000028</c:v>
                </c:pt>
                <c:pt idx="177">
                  <c:v>27.156718900000044</c:v>
                </c:pt>
                <c:pt idx="178">
                  <c:v>27.156888600000002</c:v>
                </c:pt>
                <c:pt idx="179">
                  <c:v>27.141310500000031</c:v>
                </c:pt>
                <c:pt idx="180">
                  <c:v>27.124003500000015</c:v>
                </c:pt>
                <c:pt idx="181">
                  <c:v>27.107963000000041</c:v>
                </c:pt>
                <c:pt idx="182">
                  <c:v>27.094243500000005</c:v>
                </c:pt>
                <c:pt idx="183">
                  <c:v>27.081462600000009</c:v>
                </c:pt>
                <c:pt idx="184">
                  <c:v>27.067287600000043</c:v>
                </c:pt>
                <c:pt idx="185">
                  <c:v>27.051019100000019</c:v>
                </c:pt>
                <c:pt idx="186">
                  <c:v>27.035759800000051</c:v>
                </c:pt>
                <c:pt idx="187">
                  <c:v>27.021505500000046</c:v>
                </c:pt>
                <c:pt idx="188">
                  <c:v>27.007378900000049</c:v>
                </c:pt>
                <c:pt idx="189">
                  <c:v>26.99292220000001</c:v>
                </c:pt>
                <c:pt idx="190">
                  <c:v>26.978728400000023</c:v>
                </c:pt>
                <c:pt idx="191">
                  <c:v>26.964462300000037</c:v>
                </c:pt>
                <c:pt idx="192">
                  <c:v>26.949572799999999</c:v>
                </c:pt>
                <c:pt idx="193">
                  <c:v>26.934261100000015</c:v>
                </c:pt>
                <c:pt idx="194">
                  <c:v>26.919523400000003</c:v>
                </c:pt>
                <c:pt idx="195">
                  <c:v>26.905614000000014</c:v>
                </c:pt>
                <c:pt idx="196">
                  <c:v>26.892511200000001</c:v>
                </c:pt>
                <c:pt idx="197">
                  <c:v>26.881920400000013</c:v>
                </c:pt>
                <c:pt idx="198">
                  <c:v>26.876185000000021</c:v>
                </c:pt>
                <c:pt idx="199">
                  <c:v>26.873333200000047</c:v>
                </c:pt>
                <c:pt idx="200">
                  <c:v>26.870173300000033</c:v>
                </c:pt>
                <c:pt idx="201">
                  <c:v>26.860424600000044</c:v>
                </c:pt>
                <c:pt idx="202">
                  <c:v>26.839391599999999</c:v>
                </c:pt>
                <c:pt idx="203">
                  <c:v>26.812293699999998</c:v>
                </c:pt>
                <c:pt idx="204">
                  <c:v>26.787088900000015</c:v>
                </c:pt>
                <c:pt idx="205">
                  <c:v>26.770871700000043</c:v>
                </c:pt>
                <c:pt idx="206">
                  <c:v>26.765417400000047</c:v>
                </c:pt>
                <c:pt idx="207">
                  <c:v>26.766650200000015</c:v>
                </c:pt>
                <c:pt idx="208">
                  <c:v>26.765437700000007</c:v>
                </c:pt>
                <c:pt idx="209">
                  <c:v>26.755639200000019</c:v>
                </c:pt>
                <c:pt idx="210">
                  <c:v>26.741421500000001</c:v>
                </c:pt>
                <c:pt idx="211">
                  <c:v>26.726623800000027</c:v>
                </c:pt>
                <c:pt idx="212">
                  <c:v>26.717166600000041</c:v>
                </c:pt>
                <c:pt idx="213">
                  <c:v>26.719736699999999</c:v>
                </c:pt>
                <c:pt idx="214">
                  <c:v>26.735976500000049</c:v>
                </c:pt>
                <c:pt idx="215">
                  <c:v>26.761130100000003</c:v>
                </c:pt>
                <c:pt idx="216">
                  <c:v>26.789129500000001</c:v>
                </c:pt>
                <c:pt idx="217">
                  <c:v>26.815879300000006</c:v>
                </c:pt>
                <c:pt idx="218">
                  <c:v>26.84633580000002</c:v>
                </c:pt>
                <c:pt idx="219">
                  <c:v>26.883671100000015</c:v>
                </c:pt>
                <c:pt idx="220">
                  <c:v>26.926267100000018</c:v>
                </c:pt>
                <c:pt idx="221">
                  <c:v>26.356999599999995</c:v>
                </c:pt>
                <c:pt idx="222">
                  <c:v>25.420875100000046</c:v>
                </c:pt>
                <c:pt idx="223">
                  <c:v>24.990120100000013</c:v>
                </c:pt>
                <c:pt idx="224">
                  <c:v>25.069194100000004</c:v>
                </c:pt>
                <c:pt idx="225">
                  <c:v>25.891427300000032</c:v>
                </c:pt>
                <c:pt idx="226">
                  <c:v>26.77220410000001</c:v>
                </c:pt>
                <c:pt idx="227">
                  <c:v>27.164478700000018</c:v>
                </c:pt>
                <c:pt idx="228">
                  <c:v>26.717139800000041</c:v>
                </c:pt>
                <c:pt idx="229">
                  <c:v>25.711177700000007</c:v>
                </c:pt>
                <c:pt idx="230">
                  <c:v>25.419807300000002</c:v>
                </c:pt>
                <c:pt idx="231">
                  <c:v>25.627458200000035</c:v>
                </c:pt>
                <c:pt idx="232">
                  <c:v>26.038466900000003</c:v>
                </c:pt>
                <c:pt idx="233">
                  <c:v>26.764521000000002</c:v>
                </c:pt>
                <c:pt idx="234">
                  <c:v>27.317206900000031</c:v>
                </c:pt>
                <c:pt idx="235">
                  <c:v>26.893368400000043</c:v>
                </c:pt>
                <c:pt idx="236">
                  <c:v>25.952475900000024</c:v>
                </c:pt>
                <c:pt idx="237">
                  <c:v>25.745455100000015</c:v>
                </c:pt>
                <c:pt idx="238">
                  <c:v>25.896268600000042</c:v>
                </c:pt>
                <c:pt idx="239">
                  <c:v>25.95367490000001</c:v>
                </c:pt>
                <c:pt idx="240">
                  <c:v>25.967612099999997</c:v>
                </c:pt>
                <c:pt idx="241">
                  <c:v>26.95364040000004</c:v>
                </c:pt>
                <c:pt idx="242">
                  <c:v>27.301176800000007</c:v>
                </c:pt>
                <c:pt idx="243">
                  <c:v>26.832899499999996</c:v>
                </c:pt>
                <c:pt idx="244">
                  <c:v>25.899755300000038</c:v>
                </c:pt>
                <c:pt idx="245">
                  <c:v>26.018943000000036</c:v>
                </c:pt>
                <c:pt idx="246">
                  <c:v>26.254621900000018</c:v>
                </c:pt>
                <c:pt idx="247">
                  <c:v>26.226106700000003</c:v>
                </c:pt>
                <c:pt idx="248">
                  <c:v>26.60763970000005</c:v>
                </c:pt>
                <c:pt idx="249">
                  <c:v>27.268526500000007</c:v>
                </c:pt>
                <c:pt idx="250">
                  <c:v>26.960927200000015</c:v>
                </c:pt>
                <c:pt idx="251">
                  <c:v>26.074396000000036</c:v>
                </c:pt>
                <c:pt idx="252">
                  <c:v>25.955037400000037</c:v>
                </c:pt>
                <c:pt idx="253">
                  <c:v>26.214868300000035</c:v>
                </c:pt>
                <c:pt idx="254">
                  <c:v>26.143097600000033</c:v>
                </c:pt>
                <c:pt idx="255">
                  <c:v>26.337275300000044</c:v>
                </c:pt>
                <c:pt idx="256">
                  <c:v>27.078858700000012</c:v>
                </c:pt>
                <c:pt idx="257">
                  <c:v>26.921320800000046</c:v>
                </c:pt>
                <c:pt idx="258">
                  <c:v>26.009552500000041</c:v>
                </c:pt>
                <c:pt idx="259">
                  <c:v>25.889753800000051</c:v>
                </c:pt>
                <c:pt idx="260">
                  <c:v>26.261745900000051</c:v>
                </c:pt>
                <c:pt idx="261">
                  <c:v>26.059531900000025</c:v>
                </c:pt>
                <c:pt idx="262">
                  <c:v>26.052384500000016</c:v>
                </c:pt>
                <c:pt idx="263">
                  <c:v>26.9065789</c:v>
                </c:pt>
                <c:pt idx="264">
                  <c:v>26.815475700000036</c:v>
                </c:pt>
                <c:pt idx="265">
                  <c:v>26.059199100000001</c:v>
                </c:pt>
                <c:pt idx="266">
                  <c:v>25.532352000000003</c:v>
                </c:pt>
                <c:pt idx="267">
                  <c:v>25.739868200000046</c:v>
                </c:pt>
                <c:pt idx="268">
                  <c:v>25.812922600000036</c:v>
                </c:pt>
                <c:pt idx="269">
                  <c:v>27.364173500000049</c:v>
                </c:pt>
                <c:pt idx="270">
                  <c:v>27.505224400000031</c:v>
                </c:pt>
                <c:pt idx="271">
                  <c:v>27.502962300000036</c:v>
                </c:pt>
                <c:pt idx="272">
                  <c:v>27.519884600000012</c:v>
                </c:pt>
                <c:pt idx="273">
                  <c:v>27.665811200000007</c:v>
                </c:pt>
                <c:pt idx="274">
                  <c:v>27.665023700000006</c:v>
                </c:pt>
                <c:pt idx="275">
                  <c:v>27.647707600000047</c:v>
                </c:pt>
                <c:pt idx="276">
                  <c:v>27.635923200000036</c:v>
                </c:pt>
                <c:pt idx="277">
                  <c:v>27.62473030000001</c:v>
                </c:pt>
                <c:pt idx="278">
                  <c:v>27.610514300000034</c:v>
                </c:pt>
                <c:pt idx="279">
                  <c:v>27.595947000000024</c:v>
                </c:pt>
                <c:pt idx="280">
                  <c:v>27.582325600000047</c:v>
                </c:pt>
                <c:pt idx="281">
                  <c:v>27.570373200000006</c:v>
                </c:pt>
                <c:pt idx="282">
                  <c:v>27.558391500000027</c:v>
                </c:pt>
                <c:pt idx="283">
                  <c:v>27.546522800000048</c:v>
                </c:pt>
                <c:pt idx="284">
                  <c:v>27.53554170000001</c:v>
                </c:pt>
                <c:pt idx="285">
                  <c:v>27.526228400000036</c:v>
                </c:pt>
                <c:pt idx="286">
                  <c:v>27.518744500000025</c:v>
                </c:pt>
                <c:pt idx="287">
                  <c:v>27.512943300000018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B-4E2D-B34F-C0E0AD18C720}"/>
            </c:ext>
          </c:extLst>
        </c:ser>
        <c:ser>
          <c:idx val="2"/>
          <c:order val="2"/>
          <c:tx>
            <c:strRef>
              <c:f>'with compensator'!$T$1</c:f>
              <c:strCache>
                <c:ptCount val="1"/>
                <c:pt idx="0">
                  <c:v>Teas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'with compensator'!$T$2:$T$289</c:f>
              <c:numCache>
                <c:formatCode>General</c:formatCode>
                <c:ptCount val="288"/>
                <c:pt idx="0">
                  <c:v>24</c:v>
                </c:pt>
                <c:pt idx="1">
                  <c:v>23.739967200000024</c:v>
                </c:pt>
                <c:pt idx="2">
                  <c:v>23.856407799999999</c:v>
                </c:pt>
                <c:pt idx="3">
                  <c:v>23.826035500000046</c:v>
                </c:pt>
                <c:pt idx="4">
                  <c:v>23.897065499999997</c:v>
                </c:pt>
                <c:pt idx="5">
                  <c:v>23.866952800000035</c:v>
                </c:pt>
                <c:pt idx="6">
                  <c:v>23.873186500000031</c:v>
                </c:pt>
                <c:pt idx="7">
                  <c:v>23.893279600000028</c:v>
                </c:pt>
                <c:pt idx="8">
                  <c:v>23.883898000000045</c:v>
                </c:pt>
                <c:pt idx="9">
                  <c:v>23.868027000000041</c:v>
                </c:pt>
                <c:pt idx="10">
                  <c:v>23.856924300000003</c:v>
                </c:pt>
                <c:pt idx="11">
                  <c:v>23.848629800000026</c:v>
                </c:pt>
                <c:pt idx="12">
                  <c:v>23.841884500000049</c:v>
                </c:pt>
                <c:pt idx="13">
                  <c:v>23.836039300000039</c:v>
                </c:pt>
                <c:pt idx="14">
                  <c:v>23.82876060000001</c:v>
                </c:pt>
                <c:pt idx="15">
                  <c:v>23.819328700000028</c:v>
                </c:pt>
                <c:pt idx="16">
                  <c:v>23.808601300000021</c:v>
                </c:pt>
                <c:pt idx="17">
                  <c:v>23.792920200000026</c:v>
                </c:pt>
                <c:pt idx="18">
                  <c:v>23.782530800000018</c:v>
                </c:pt>
                <c:pt idx="19">
                  <c:v>23.704578500000025</c:v>
                </c:pt>
                <c:pt idx="20">
                  <c:v>23.765896200000043</c:v>
                </c:pt>
                <c:pt idx="21">
                  <c:v>23.742685900000026</c:v>
                </c:pt>
                <c:pt idx="22">
                  <c:v>23.760803500000009</c:v>
                </c:pt>
                <c:pt idx="23">
                  <c:v>23.811473200000023</c:v>
                </c:pt>
                <c:pt idx="24">
                  <c:v>23.877869500000031</c:v>
                </c:pt>
                <c:pt idx="25">
                  <c:v>23.991167000000019</c:v>
                </c:pt>
                <c:pt idx="26">
                  <c:v>24.121671300000003</c:v>
                </c:pt>
                <c:pt idx="27">
                  <c:v>24.215717900000016</c:v>
                </c:pt>
                <c:pt idx="28">
                  <c:v>24.296896300000014</c:v>
                </c:pt>
                <c:pt idx="29">
                  <c:v>24.087939500000005</c:v>
                </c:pt>
                <c:pt idx="30">
                  <c:v>24.098400300000037</c:v>
                </c:pt>
                <c:pt idx="31">
                  <c:v>24.144459500000039</c:v>
                </c:pt>
                <c:pt idx="32">
                  <c:v>24.221639200000027</c:v>
                </c:pt>
                <c:pt idx="33">
                  <c:v>24.391490000000033</c:v>
                </c:pt>
                <c:pt idx="34">
                  <c:v>24.684501100000034</c:v>
                </c:pt>
                <c:pt idx="35">
                  <c:v>25.010387000000037</c:v>
                </c:pt>
                <c:pt idx="36">
                  <c:v>25.3620679</c:v>
                </c:pt>
                <c:pt idx="37">
                  <c:v>25.597663600000033</c:v>
                </c:pt>
                <c:pt idx="38">
                  <c:v>25.745129300000031</c:v>
                </c:pt>
                <c:pt idx="39">
                  <c:v>25.873711500000013</c:v>
                </c:pt>
                <c:pt idx="40">
                  <c:v>25.98597860000001</c:v>
                </c:pt>
                <c:pt idx="41">
                  <c:v>26.00689680000005</c:v>
                </c:pt>
                <c:pt idx="42">
                  <c:v>25.946569100000033</c:v>
                </c:pt>
                <c:pt idx="43">
                  <c:v>25.94447770000005</c:v>
                </c:pt>
                <c:pt idx="44">
                  <c:v>25.915338100000042</c:v>
                </c:pt>
                <c:pt idx="45">
                  <c:v>25.814135700000008</c:v>
                </c:pt>
                <c:pt idx="46">
                  <c:v>25.794303800000023</c:v>
                </c:pt>
                <c:pt idx="47">
                  <c:v>25.751236300000016</c:v>
                </c:pt>
                <c:pt idx="48">
                  <c:v>25.525553000000002</c:v>
                </c:pt>
                <c:pt idx="49">
                  <c:v>25.645838300000037</c:v>
                </c:pt>
                <c:pt idx="50">
                  <c:v>25.680151300000034</c:v>
                </c:pt>
                <c:pt idx="51">
                  <c:v>25.777446600000019</c:v>
                </c:pt>
                <c:pt idx="52">
                  <c:v>25.840537500000039</c:v>
                </c:pt>
                <c:pt idx="53">
                  <c:v>26.046505500000023</c:v>
                </c:pt>
                <c:pt idx="54">
                  <c:v>26.112266300000044</c:v>
                </c:pt>
                <c:pt idx="55">
                  <c:v>25.880155600000023</c:v>
                </c:pt>
                <c:pt idx="56">
                  <c:v>25.62107050000003</c:v>
                </c:pt>
                <c:pt idx="57">
                  <c:v>25.778970500000014</c:v>
                </c:pt>
                <c:pt idx="58">
                  <c:v>25.970986100000005</c:v>
                </c:pt>
                <c:pt idx="59">
                  <c:v>25.841874300000029</c:v>
                </c:pt>
                <c:pt idx="60">
                  <c:v>25.623409200000026</c:v>
                </c:pt>
                <c:pt idx="61">
                  <c:v>25.821347800000012</c:v>
                </c:pt>
                <c:pt idx="62">
                  <c:v>25.963002600000038</c:v>
                </c:pt>
                <c:pt idx="63">
                  <c:v>25.976559500000008</c:v>
                </c:pt>
                <c:pt idx="64">
                  <c:v>25.959512700000005</c:v>
                </c:pt>
                <c:pt idx="65">
                  <c:v>25.940417600000046</c:v>
                </c:pt>
                <c:pt idx="66">
                  <c:v>25.738013100000046</c:v>
                </c:pt>
                <c:pt idx="67">
                  <c:v>25.456265300000041</c:v>
                </c:pt>
                <c:pt idx="68">
                  <c:v>25.635302800000034</c:v>
                </c:pt>
                <c:pt idx="69">
                  <c:v>25.891785500000026</c:v>
                </c:pt>
                <c:pt idx="70">
                  <c:v>25.912198500000045</c:v>
                </c:pt>
                <c:pt idx="71">
                  <c:v>25.615448200000003</c:v>
                </c:pt>
                <c:pt idx="72">
                  <c:v>25.486321400000008</c:v>
                </c:pt>
                <c:pt idx="73">
                  <c:v>25.506657000000018</c:v>
                </c:pt>
                <c:pt idx="74">
                  <c:v>25.399206300000003</c:v>
                </c:pt>
                <c:pt idx="75">
                  <c:v>25.348921000000018</c:v>
                </c:pt>
                <c:pt idx="76">
                  <c:v>25.381647799999996</c:v>
                </c:pt>
                <c:pt idx="77">
                  <c:v>26.000963200000001</c:v>
                </c:pt>
                <c:pt idx="78">
                  <c:v>26.03519940000001</c:v>
                </c:pt>
                <c:pt idx="79">
                  <c:v>25.989947099999995</c:v>
                </c:pt>
                <c:pt idx="80">
                  <c:v>25.974856200000033</c:v>
                </c:pt>
                <c:pt idx="81">
                  <c:v>26.051551000000018</c:v>
                </c:pt>
                <c:pt idx="82">
                  <c:v>26.051849900000036</c:v>
                </c:pt>
                <c:pt idx="83">
                  <c:v>26.044933300000025</c:v>
                </c:pt>
                <c:pt idx="84">
                  <c:v>26.03650110000001</c:v>
                </c:pt>
                <c:pt idx="85">
                  <c:v>26.02742470000004</c:v>
                </c:pt>
                <c:pt idx="86">
                  <c:v>26.013358700000026</c:v>
                </c:pt>
                <c:pt idx="87">
                  <c:v>25.98680250000001</c:v>
                </c:pt>
                <c:pt idx="88">
                  <c:v>25.961070300000017</c:v>
                </c:pt>
                <c:pt idx="89">
                  <c:v>25.941112800000042</c:v>
                </c:pt>
                <c:pt idx="90">
                  <c:v>25.922396500000048</c:v>
                </c:pt>
                <c:pt idx="91">
                  <c:v>25.912940400000025</c:v>
                </c:pt>
                <c:pt idx="92">
                  <c:v>25.899972000000048</c:v>
                </c:pt>
                <c:pt idx="93">
                  <c:v>25.884199600000045</c:v>
                </c:pt>
                <c:pt idx="94">
                  <c:v>25.860073100000022</c:v>
                </c:pt>
                <c:pt idx="95">
                  <c:v>25.848006200000043</c:v>
                </c:pt>
                <c:pt idx="96">
                  <c:v>25.828402100000005</c:v>
                </c:pt>
                <c:pt idx="97">
                  <c:v>25.8114195</c:v>
                </c:pt>
                <c:pt idx="98">
                  <c:v>25.796069500000044</c:v>
                </c:pt>
                <c:pt idx="99">
                  <c:v>25.780985000000044</c:v>
                </c:pt>
                <c:pt idx="100">
                  <c:v>25.76602250000002</c:v>
                </c:pt>
                <c:pt idx="101">
                  <c:v>25.751080900000034</c:v>
                </c:pt>
                <c:pt idx="102">
                  <c:v>25.735842500000047</c:v>
                </c:pt>
                <c:pt idx="103">
                  <c:v>25.720308100000011</c:v>
                </c:pt>
                <c:pt idx="104">
                  <c:v>25.70477470000003</c:v>
                </c:pt>
                <c:pt idx="105">
                  <c:v>25.689914700000031</c:v>
                </c:pt>
                <c:pt idx="106">
                  <c:v>25.67728500000004</c:v>
                </c:pt>
                <c:pt idx="107">
                  <c:v>25.666827600000033</c:v>
                </c:pt>
                <c:pt idx="108">
                  <c:v>25.657019600000012</c:v>
                </c:pt>
                <c:pt idx="109">
                  <c:v>25.645713300000011</c:v>
                </c:pt>
                <c:pt idx="110">
                  <c:v>25.631658900000048</c:v>
                </c:pt>
                <c:pt idx="111">
                  <c:v>25.616049599999997</c:v>
                </c:pt>
                <c:pt idx="112">
                  <c:v>25.6014816</c:v>
                </c:pt>
                <c:pt idx="113">
                  <c:v>25.590380600000003</c:v>
                </c:pt>
                <c:pt idx="114">
                  <c:v>25.566292000000033</c:v>
                </c:pt>
                <c:pt idx="115">
                  <c:v>25.587112000000047</c:v>
                </c:pt>
                <c:pt idx="116">
                  <c:v>25.617771000000005</c:v>
                </c:pt>
                <c:pt idx="117">
                  <c:v>25.66624870000004</c:v>
                </c:pt>
                <c:pt idx="118">
                  <c:v>25.732751500000006</c:v>
                </c:pt>
                <c:pt idx="119">
                  <c:v>25.809763000000032</c:v>
                </c:pt>
                <c:pt idx="120">
                  <c:v>25.900221299999998</c:v>
                </c:pt>
                <c:pt idx="121">
                  <c:v>26.009876500000018</c:v>
                </c:pt>
                <c:pt idx="122">
                  <c:v>26.143045099999995</c:v>
                </c:pt>
                <c:pt idx="123">
                  <c:v>26.279018800000017</c:v>
                </c:pt>
                <c:pt idx="124">
                  <c:v>26.419796000000019</c:v>
                </c:pt>
                <c:pt idx="125">
                  <c:v>26.07121120000005</c:v>
                </c:pt>
                <c:pt idx="126">
                  <c:v>25.664242800000011</c:v>
                </c:pt>
                <c:pt idx="127">
                  <c:v>25.759296800000016</c:v>
                </c:pt>
                <c:pt idx="128">
                  <c:v>25.850026500000013</c:v>
                </c:pt>
                <c:pt idx="129">
                  <c:v>26.345854200000019</c:v>
                </c:pt>
                <c:pt idx="130">
                  <c:v>26.913853700000004</c:v>
                </c:pt>
                <c:pt idx="131">
                  <c:v>26.918163600000014</c:v>
                </c:pt>
                <c:pt idx="132">
                  <c:v>26.507619500000033</c:v>
                </c:pt>
                <c:pt idx="133">
                  <c:v>26.089283800000032</c:v>
                </c:pt>
                <c:pt idx="134">
                  <c:v>26.077264600000035</c:v>
                </c:pt>
                <c:pt idx="135">
                  <c:v>26.193593899999996</c:v>
                </c:pt>
                <c:pt idx="136">
                  <c:v>26.211107200000015</c:v>
                </c:pt>
                <c:pt idx="137">
                  <c:v>26.565338100000019</c:v>
                </c:pt>
                <c:pt idx="138">
                  <c:v>26.879589400000043</c:v>
                </c:pt>
                <c:pt idx="139">
                  <c:v>26.448206700000014</c:v>
                </c:pt>
                <c:pt idx="140">
                  <c:v>25.819625500000029</c:v>
                </c:pt>
                <c:pt idx="141">
                  <c:v>25.976061800000025</c:v>
                </c:pt>
                <c:pt idx="142">
                  <c:v>26.271905300000014</c:v>
                </c:pt>
                <c:pt idx="143">
                  <c:v>25.943705600000044</c:v>
                </c:pt>
                <c:pt idx="144">
                  <c:v>25.629200100000048</c:v>
                </c:pt>
                <c:pt idx="145">
                  <c:v>26.554198299999996</c:v>
                </c:pt>
                <c:pt idx="146">
                  <c:v>26.835420900000031</c:v>
                </c:pt>
                <c:pt idx="147">
                  <c:v>26.286959300000035</c:v>
                </c:pt>
                <c:pt idx="148">
                  <c:v>25.581284400000015</c:v>
                </c:pt>
                <c:pt idx="149">
                  <c:v>26.177416800000003</c:v>
                </c:pt>
                <c:pt idx="150">
                  <c:v>26.423424600000033</c:v>
                </c:pt>
                <c:pt idx="151">
                  <c:v>26.03448370000001</c:v>
                </c:pt>
                <c:pt idx="152">
                  <c:v>25.963024000000019</c:v>
                </c:pt>
                <c:pt idx="153">
                  <c:v>26.652569500000027</c:v>
                </c:pt>
                <c:pt idx="154">
                  <c:v>26.363615800000048</c:v>
                </c:pt>
                <c:pt idx="155">
                  <c:v>25.581707900000026</c:v>
                </c:pt>
                <c:pt idx="156">
                  <c:v>25.857698400000004</c:v>
                </c:pt>
                <c:pt idx="157">
                  <c:v>26.555268900000044</c:v>
                </c:pt>
                <c:pt idx="158">
                  <c:v>26.225621900000021</c:v>
                </c:pt>
                <c:pt idx="159">
                  <c:v>25.697845000000029</c:v>
                </c:pt>
                <c:pt idx="160">
                  <c:v>26.339919699999996</c:v>
                </c:pt>
                <c:pt idx="161">
                  <c:v>26.692959700000017</c:v>
                </c:pt>
                <c:pt idx="162">
                  <c:v>26.031177100000036</c:v>
                </c:pt>
                <c:pt idx="163">
                  <c:v>25.577705400000013</c:v>
                </c:pt>
                <c:pt idx="164">
                  <c:v>26.123452799999995</c:v>
                </c:pt>
                <c:pt idx="165">
                  <c:v>26.364521500000023</c:v>
                </c:pt>
                <c:pt idx="166">
                  <c:v>25.820110600000021</c:v>
                </c:pt>
                <c:pt idx="167">
                  <c:v>25.685209200000031</c:v>
                </c:pt>
                <c:pt idx="168">
                  <c:v>26.426529900000048</c:v>
                </c:pt>
                <c:pt idx="169">
                  <c:v>26.255785900000035</c:v>
                </c:pt>
                <c:pt idx="170">
                  <c:v>25.400057300000014</c:v>
                </c:pt>
                <c:pt idx="171">
                  <c:v>25.575541500000043</c:v>
                </c:pt>
                <c:pt idx="172">
                  <c:v>26.027790800000048</c:v>
                </c:pt>
                <c:pt idx="173">
                  <c:v>26.974823800000024</c:v>
                </c:pt>
                <c:pt idx="174">
                  <c:v>27.065790600000014</c:v>
                </c:pt>
                <c:pt idx="175">
                  <c:v>26.991579100000024</c:v>
                </c:pt>
                <c:pt idx="176">
                  <c:v>26.972635000000025</c:v>
                </c:pt>
                <c:pt idx="177">
                  <c:v>27.117264800000044</c:v>
                </c:pt>
                <c:pt idx="178">
                  <c:v>27.126248599999997</c:v>
                </c:pt>
                <c:pt idx="179">
                  <c:v>27.118511699999999</c:v>
                </c:pt>
                <c:pt idx="180">
                  <c:v>27.107696300000043</c:v>
                </c:pt>
                <c:pt idx="181">
                  <c:v>27.096551099999999</c:v>
                </c:pt>
                <c:pt idx="182">
                  <c:v>27.086084000000028</c:v>
                </c:pt>
                <c:pt idx="183">
                  <c:v>27.076027100000033</c:v>
                </c:pt>
                <c:pt idx="184">
                  <c:v>27.06542950000005</c:v>
                </c:pt>
                <c:pt idx="185">
                  <c:v>27.053632800000003</c:v>
                </c:pt>
                <c:pt idx="186">
                  <c:v>27.04174770000003</c:v>
                </c:pt>
                <c:pt idx="187">
                  <c:v>27.029965900000036</c:v>
                </c:pt>
                <c:pt idx="188">
                  <c:v>27.017980200000011</c:v>
                </c:pt>
                <c:pt idx="189">
                  <c:v>27.005397800000026</c:v>
                </c:pt>
                <c:pt idx="190">
                  <c:v>26.992231000000004</c:v>
                </c:pt>
                <c:pt idx="191">
                  <c:v>26.978677400000038</c:v>
                </c:pt>
                <c:pt idx="192">
                  <c:v>26.965148200000044</c:v>
                </c:pt>
                <c:pt idx="193">
                  <c:v>26.952837200000033</c:v>
                </c:pt>
                <c:pt idx="194">
                  <c:v>26.941277700000001</c:v>
                </c:pt>
                <c:pt idx="195">
                  <c:v>26.930110900000045</c:v>
                </c:pt>
                <c:pt idx="196">
                  <c:v>26.919328300000018</c:v>
                </c:pt>
                <c:pt idx="197">
                  <c:v>26.909562900000026</c:v>
                </c:pt>
                <c:pt idx="198">
                  <c:v>26.901672000000019</c:v>
                </c:pt>
                <c:pt idx="199">
                  <c:v>26.893886400000042</c:v>
                </c:pt>
                <c:pt idx="200">
                  <c:v>26.885351900000046</c:v>
                </c:pt>
                <c:pt idx="201">
                  <c:v>26.87573470000001</c:v>
                </c:pt>
                <c:pt idx="202">
                  <c:v>26.863457100000005</c:v>
                </c:pt>
                <c:pt idx="203">
                  <c:v>26.84951140000004</c:v>
                </c:pt>
                <c:pt idx="204">
                  <c:v>26.83582240000004</c:v>
                </c:pt>
                <c:pt idx="205">
                  <c:v>26.82474110000004</c:v>
                </c:pt>
                <c:pt idx="206">
                  <c:v>26.817702800000006</c:v>
                </c:pt>
                <c:pt idx="207">
                  <c:v>26.812918800000034</c:v>
                </c:pt>
                <c:pt idx="208">
                  <c:v>26.80756980000001</c:v>
                </c:pt>
                <c:pt idx="209">
                  <c:v>26.800500800000009</c:v>
                </c:pt>
                <c:pt idx="210">
                  <c:v>26.791753100000051</c:v>
                </c:pt>
                <c:pt idx="211">
                  <c:v>26.783896000000027</c:v>
                </c:pt>
                <c:pt idx="212">
                  <c:v>26.786971800000003</c:v>
                </c:pt>
                <c:pt idx="213">
                  <c:v>26.808004500000038</c:v>
                </c:pt>
                <c:pt idx="214">
                  <c:v>26.846271900000033</c:v>
                </c:pt>
                <c:pt idx="215">
                  <c:v>26.896904800000016</c:v>
                </c:pt>
                <c:pt idx="216">
                  <c:v>26.952987900000039</c:v>
                </c:pt>
                <c:pt idx="217">
                  <c:v>27.015754400000048</c:v>
                </c:pt>
                <c:pt idx="218">
                  <c:v>27.098601300000041</c:v>
                </c:pt>
                <c:pt idx="219">
                  <c:v>27.19375100000002</c:v>
                </c:pt>
                <c:pt idx="220">
                  <c:v>27.298896100000036</c:v>
                </c:pt>
                <c:pt idx="221">
                  <c:v>26.669184800000039</c:v>
                </c:pt>
                <c:pt idx="222">
                  <c:v>25.661372500000027</c:v>
                </c:pt>
                <c:pt idx="223">
                  <c:v>25.076337500000022</c:v>
                </c:pt>
                <c:pt idx="224">
                  <c:v>25.203410100000042</c:v>
                </c:pt>
                <c:pt idx="225">
                  <c:v>26.106539700000042</c:v>
                </c:pt>
                <c:pt idx="226">
                  <c:v>27.29483220000003</c:v>
                </c:pt>
                <c:pt idx="227">
                  <c:v>27.596690200000012</c:v>
                </c:pt>
                <c:pt idx="228">
                  <c:v>27.162485900000036</c:v>
                </c:pt>
                <c:pt idx="229">
                  <c:v>25.929637100000036</c:v>
                </c:pt>
                <c:pt idx="230">
                  <c:v>25.507333600000038</c:v>
                </c:pt>
                <c:pt idx="231">
                  <c:v>25.704471500000011</c:v>
                </c:pt>
                <c:pt idx="232">
                  <c:v>26.215158900000006</c:v>
                </c:pt>
                <c:pt idx="233">
                  <c:v>26.831920100000048</c:v>
                </c:pt>
                <c:pt idx="234">
                  <c:v>27.378122900000051</c:v>
                </c:pt>
                <c:pt idx="235">
                  <c:v>27.064526300000011</c:v>
                </c:pt>
                <c:pt idx="236">
                  <c:v>26.027137100000004</c:v>
                </c:pt>
                <c:pt idx="237">
                  <c:v>25.662086500000044</c:v>
                </c:pt>
                <c:pt idx="238">
                  <c:v>25.791250300000002</c:v>
                </c:pt>
                <c:pt idx="239">
                  <c:v>25.835861700000009</c:v>
                </c:pt>
                <c:pt idx="240">
                  <c:v>25.748409200000026</c:v>
                </c:pt>
                <c:pt idx="241">
                  <c:v>26.879450800000029</c:v>
                </c:pt>
                <c:pt idx="242">
                  <c:v>27.346748900000023</c:v>
                </c:pt>
                <c:pt idx="243">
                  <c:v>26.511530700000037</c:v>
                </c:pt>
                <c:pt idx="244">
                  <c:v>25.558632299999999</c:v>
                </c:pt>
                <c:pt idx="245">
                  <c:v>25.901776400000017</c:v>
                </c:pt>
                <c:pt idx="246">
                  <c:v>26.120352400000002</c:v>
                </c:pt>
                <c:pt idx="247">
                  <c:v>25.963742600000046</c:v>
                </c:pt>
                <c:pt idx="248">
                  <c:v>26.570373800000027</c:v>
                </c:pt>
                <c:pt idx="249">
                  <c:v>27.357601400000021</c:v>
                </c:pt>
                <c:pt idx="250">
                  <c:v>26.481852900000035</c:v>
                </c:pt>
                <c:pt idx="251">
                  <c:v>25.592736400000035</c:v>
                </c:pt>
                <c:pt idx="252">
                  <c:v>25.826598900000022</c:v>
                </c:pt>
                <c:pt idx="253">
                  <c:v>26.084729100000004</c:v>
                </c:pt>
                <c:pt idx="254">
                  <c:v>25.857942900000012</c:v>
                </c:pt>
                <c:pt idx="255">
                  <c:v>26.31198310000002</c:v>
                </c:pt>
                <c:pt idx="256">
                  <c:v>27.215812500000027</c:v>
                </c:pt>
                <c:pt idx="257">
                  <c:v>26.612035900000024</c:v>
                </c:pt>
                <c:pt idx="258">
                  <c:v>25.557118600000024</c:v>
                </c:pt>
                <c:pt idx="259">
                  <c:v>25.705856500000039</c:v>
                </c:pt>
                <c:pt idx="260">
                  <c:v>26.060483300000044</c:v>
                </c:pt>
                <c:pt idx="261">
                  <c:v>25.744251899999995</c:v>
                </c:pt>
                <c:pt idx="262">
                  <c:v>25.998582700000043</c:v>
                </c:pt>
                <c:pt idx="263">
                  <c:v>26.960274200000015</c:v>
                </c:pt>
                <c:pt idx="264">
                  <c:v>26.637103500000023</c:v>
                </c:pt>
                <c:pt idx="265">
                  <c:v>25.581787399999996</c:v>
                </c:pt>
                <c:pt idx="266">
                  <c:v>25.328370100000029</c:v>
                </c:pt>
                <c:pt idx="267">
                  <c:v>25.512012700000014</c:v>
                </c:pt>
                <c:pt idx="268">
                  <c:v>25.556867199999999</c:v>
                </c:pt>
                <c:pt idx="269">
                  <c:v>27.188361000000043</c:v>
                </c:pt>
                <c:pt idx="270">
                  <c:v>27.327866700000015</c:v>
                </c:pt>
                <c:pt idx="271">
                  <c:v>27.321800100000019</c:v>
                </c:pt>
                <c:pt idx="272">
                  <c:v>27.344636000000037</c:v>
                </c:pt>
                <c:pt idx="273">
                  <c:v>27.528927100000033</c:v>
                </c:pt>
                <c:pt idx="274">
                  <c:v>27.547926100000041</c:v>
                </c:pt>
                <c:pt idx="275">
                  <c:v>27.544722400000012</c:v>
                </c:pt>
                <c:pt idx="276">
                  <c:v>27.538765400000045</c:v>
                </c:pt>
                <c:pt idx="277">
                  <c:v>27.532630600000005</c:v>
                </c:pt>
                <c:pt idx="278">
                  <c:v>27.526768500000003</c:v>
                </c:pt>
                <c:pt idx="279">
                  <c:v>27.519949499999996</c:v>
                </c:pt>
                <c:pt idx="280">
                  <c:v>27.512092900000027</c:v>
                </c:pt>
                <c:pt idx="281">
                  <c:v>27.504464000000041</c:v>
                </c:pt>
                <c:pt idx="282">
                  <c:v>27.496665700000051</c:v>
                </c:pt>
                <c:pt idx="283">
                  <c:v>27.488721600000019</c:v>
                </c:pt>
                <c:pt idx="284">
                  <c:v>27.48097690000003</c:v>
                </c:pt>
                <c:pt idx="285">
                  <c:v>27.473854900000049</c:v>
                </c:pt>
                <c:pt idx="286">
                  <c:v>27.46757980000001</c:v>
                </c:pt>
                <c:pt idx="287">
                  <c:v>27.462100000000021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1B-4E2D-B34F-C0E0AD18C720}"/>
            </c:ext>
          </c:extLst>
        </c:ser>
        <c:ser>
          <c:idx val="3"/>
          <c:order val="3"/>
          <c:tx>
            <c:strRef>
              <c:f>'with compensator'!$U$1</c:f>
              <c:strCache>
                <c:ptCount val="1"/>
                <c:pt idx="0">
                  <c:v>Tnor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'with compensator'!$U$2:$U$289</c:f>
              <c:numCache>
                <c:formatCode>General</c:formatCode>
                <c:ptCount val="288"/>
                <c:pt idx="0">
                  <c:v>24</c:v>
                </c:pt>
                <c:pt idx="1">
                  <c:v>23.720058700000038</c:v>
                </c:pt>
                <c:pt idx="2">
                  <c:v>23.850070800000026</c:v>
                </c:pt>
                <c:pt idx="3">
                  <c:v>23.879129900000009</c:v>
                </c:pt>
                <c:pt idx="4">
                  <c:v>23.814033400000028</c:v>
                </c:pt>
                <c:pt idx="5">
                  <c:v>23.829216400000007</c:v>
                </c:pt>
                <c:pt idx="6">
                  <c:v>23.887803500000018</c:v>
                </c:pt>
                <c:pt idx="7">
                  <c:v>23.874975800000016</c:v>
                </c:pt>
                <c:pt idx="8">
                  <c:v>23.776962800000035</c:v>
                </c:pt>
                <c:pt idx="9">
                  <c:v>23.753518900000017</c:v>
                </c:pt>
                <c:pt idx="10">
                  <c:v>23.74054620000004</c:v>
                </c:pt>
                <c:pt idx="11">
                  <c:v>23.731392100000051</c:v>
                </c:pt>
                <c:pt idx="12">
                  <c:v>23.724463900000046</c:v>
                </c:pt>
                <c:pt idx="13">
                  <c:v>23.719187200000022</c:v>
                </c:pt>
                <c:pt idx="14">
                  <c:v>23.713781300000051</c:v>
                </c:pt>
                <c:pt idx="15">
                  <c:v>23.708100000000002</c:v>
                </c:pt>
                <c:pt idx="16">
                  <c:v>23.703257500000007</c:v>
                </c:pt>
                <c:pt idx="17">
                  <c:v>23.742888400000027</c:v>
                </c:pt>
                <c:pt idx="18">
                  <c:v>23.75938240000005</c:v>
                </c:pt>
                <c:pt idx="19">
                  <c:v>23.747202600000037</c:v>
                </c:pt>
                <c:pt idx="20">
                  <c:v>23.66463090000002</c:v>
                </c:pt>
                <c:pt idx="21">
                  <c:v>23.688490700000045</c:v>
                </c:pt>
                <c:pt idx="22">
                  <c:v>23.752519199999995</c:v>
                </c:pt>
                <c:pt idx="23">
                  <c:v>23.770660399999997</c:v>
                </c:pt>
                <c:pt idx="24">
                  <c:v>23.747002100000032</c:v>
                </c:pt>
                <c:pt idx="25">
                  <c:v>23.755700200000035</c:v>
                </c:pt>
                <c:pt idx="26">
                  <c:v>23.785939900000017</c:v>
                </c:pt>
                <c:pt idx="27">
                  <c:v>23.82712250000003</c:v>
                </c:pt>
                <c:pt idx="28">
                  <c:v>23.882569100000012</c:v>
                </c:pt>
                <c:pt idx="29">
                  <c:v>23.779478500000039</c:v>
                </c:pt>
                <c:pt idx="30">
                  <c:v>23.769001600000024</c:v>
                </c:pt>
                <c:pt idx="31">
                  <c:v>23.804528400000038</c:v>
                </c:pt>
                <c:pt idx="32">
                  <c:v>23.829836100000023</c:v>
                </c:pt>
                <c:pt idx="33">
                  <c:v>23.994375900000023</c:v>
                </c:pt>
                <c:pt idx="34">
                  <c:v>24.310003100000017</c:v>
                </c:pt>
                <c:pt idx="35">
                  <c:v>24.631664999999998</c:v>
                </c:pt>
                <c:pt idx="36">
                  <c:v>24.913460100000009</c:v>
                </c:pt>
                <c:pt idx="37">
                  <c:v>25.070171900000048</c:v>
                </c:pt>
                <c:pt idx="38">
                  <c:v>25.157061900000031</c:v>
                </c:pt>
                <c:pt idx="39">
                  <c:v>25.24481320000001</c:v>
                </c:pt>
                <c:pt idx="40">
                  <c:v>25.336210400000027</c:v>
                </c:pt>
                <c:pt idx="41">
                  <c:v>25.40903910000003</c:v>
                </c:pt>
                <c:pt idx="42">
                  <c:v>25.468763200000012</c:v>
                </c:pt>
                <c:pt idx="43">
                  <c:v>25.521838400000036</c:v>
                </c:pt>
                <c:pt idx="44">
                  <c:v>25.543821400000013</c:v>
                </c:pt>
                <c:pt idx="45">
                  <c:v>25.539530000000013</c:v>
                </c:pt>
                <c:pt idx="46">
                  <c:v>25.534285300000022</c:v>
                </c:pt>
                <c:pt idx="47">
                  <c:v>25.534706500000027</c:v>
                </c:pt>
                <c:pt idx="48">
                  <c:v>25.416197100000034</c:v>
                </c:pt>
                <c:pt idx="49">
                  <c:v>25.316515700000025</c:v>
                </c:pt>
                <c:pt idx="50">
                  <c:v>25.354985800000009</c:v>
                </c:pt>
                <c:pt idx="51">
                  <c:v>25.463267200000018</c:v>
                </c:pt>
                <c:pt idx="52">
                  <c:v>25.542708600000026</c:v>
                </c:pt>
                <c:pt idx="53">
                  <c:v>25.784542799999997</c:v>
                </c:pt>
                <c:pt idx="54">
                  <c:v>25.865123500000038</c:v>
                </c:pt>
                <c:pt idx="55">
                  <c:v>25.827478799999994</c:v>
                </c:pt>
                <c:pt idx="56">
                  <c:v>25.635708899999997</c:v>
                </c:pt>
                <c:pt idx="57">
                  <c:v>25.639334200000008</c:v>
                </c:pt>
                <c:pt idx="58">
                  <c:v>25.78071650000004</c:v>
                </c:pt>
                <c:pt idx="59">
                  <c:v>25.775981600000023</c:v>
                </c:pt>
                <c:pt idx="60">
                  <c:v>25.628748700000017</c:v>
                </c:pt>
                <c:pt idx="61">
                  <c:v>25.659662100000048</c:v>
                </c:pt>
                <c:pt idx="62">
                  <c:v>25.813124200000004</c:v>
                </c:pt>
                <c:pt idx="63">
                  <c:v>25.840198600000008</c:v>
                </c:pt>
                <c:pt idx="64">
                  <c:v>25.837217400000043</c:v>
                </c:pt>
                <c:pt idx="65">
                  <c:v>25.817756099999997</c:v>
                </c:pt>
                <c:pt idx="66">
                  <c:v>25.7783278</c:v>
                </c:pt>
                <c:pt idx="67">
                  <c:v>25.522513600000025</c:v>
                </c:pt>
                <c:pt idx="68">
                  <c:v>25.568384200000025</c:v>
                </c:pt>
                <c:pt idx="69">
                  <c:v>25.783874900000001</c:v>
                </c:pt>
                <c:pt idx="70">
                  <c:v>25.829714300000035</c:v>
                </c:pt>
                <c:pt idx="71">
                  <c:v>25.542555200000038</c:v>
                </c:pt>
                <c:pt idx="72">
                  <c:v>25.41928630000001</c:v>
                </c:pt>
                <c:pt idx="73">
                  <c:v>25.426612900000009</c:v>
                </c:pt>
                <c:pt idx="74">
                  <c:v>25.332896900000037</c:v>
                </c:pt>
                <c:pt idx="75">
                  <c:v>25.275188900000046</c:v>
                </c:pt>
                <c:pt idx="76">
                  <c:v>25.287020900000016</c:v>
                </c:pt>
                <c:pt idx="77">
                  <c:v>25.791743900000029</c:v>
                </c:pt>
                <c:pt idx="78">
                  <c:v>25.84366220000004</c:v>
                </c:pt>
                <c:pt idx="79">
                  <c:v>25.801549500000021</c:v>
                </c:pt>
                <c:pt idx="80">
                  <c:v>25.767586700000038</c:v>
                </c:pt>
                <c:pt idx="81">
                  <c:v>25.844209400000011</c:v>
                </c:pt>
                <c:pt idx="82">
                  <c:v>25.8467938</c:v>
                </c:pt>
                <c:pt idx="83">
                  <c:v>25.83945460000001</c:v>
                </c:pt>
                <c:pt idx="84">
                  <c:v>25.829848900000002</c:v>
                </c:pt>
                <c:pt idx="85">
                  <c:v>25.814375700000028</c:v>
                </c:pt>
                <c:pt idx="86">
                  <c:v>25.787739799999997</c:v>
                </c:pt>
                <c:pt idx="87">
                  <c:v>25.752908100000013</c:v>
                </c:pt>
                <c:pt idx="88">
                  <c:v>25.71749410000001</c:v>
                </c:pt>
                <c:pt idx="89">
                  <c:v>25.689568400000041</c:v>
                </c:pt>
                <c:pt idx="90">
                  <c:v>25.668193700000018</c:v>
                </c:pt>
                <c:pt idx="91">
                  <c:v>25.647884599999998</c:v>
                </c:pt>
                <c:pt idx="92">
                  <c:v>25.628016300000013</c:v>
                </c:pt>
                <c:pt idx="93">
                  <c:v>25.613634600000012</c:v>
                </c:pt>
                <c:pt idx="94">
                  <c:v>25.600795100000028</c:v>
                </c:pt>
                <c:pt idx="95">
                  <c:v>25.584907299999998</c:v>
                </c:pt>
                <c:pt idx="96">
                  <c:v>25.568974200000014</c:v>
                </c:pt>
                <c:pt idx="97">
                  <c:v>25.554896100000008</c:v>
                </c:pt>
                <c:pt idx="98">
                  <c:v>25.542438600000025</c:v>
                </c:pt>
                <c:pt idx="99">
                  <c:v>25.530168500000002</c:v>
                </c:pt>
                <c:pt idx="100">
                  <c:v>25.517946800000004</c:v>
                </c:pt>
                <c:pt idx="101">
                  <c:v>25.505734700000005</c:v>
                </c:pt>
                <c:pt idx="102">
                  <c:v>25.493293100000017</c:v>
                </c:pt>
                <c:pt idx="103">
                  <c:v>25.480690100000004</c:v>
                </c:pt>
                <c:pt idx="104">
                  <c:v>25.468220000000031</c:v>
                </c:pt>
                <c:pt idx="105">
                  <c:v>25.456546500000002</c:v>
                </c:pt>
                <c:pt idx="106">
                  <c:v>25.447189100000003</c:v>
                </c:pt>
                <c:pt idx="107">
                  <c:v>25.439982799999996</c:v>
                </c:pt>
                <c:pt idx="108">
                  <c:v>25.433230100000003</c:v>
                </c:pt>
                <c:pt idx="109">
                  <c:v>25.424644600000022</c:v>
                </c:pt>
                <c:pt idx="110">
                  <c:v>25.413079000000039</c:v>
                </c:pt>
                <c:pt idx="111">
                  <c:v>25.400024500000029</c:v>
                </c:pt>
                <c:pt idx="112">
                  <c:v>25.388401500000043</c:v>
                </c:pt>
                <c:pt idx="113">
                  <c:v>25.380547200000024</c:v>
                </c:pt>
                <c:pt idx="114">
                  <c:v>25.380259200000012</c:v>
                </c:pt>
                <c:pt idx="115">
                  <c:v>25.38317040000004</c:v>
                </c:pt>
                <c:pt idx="116">
                  <c:v>25.398202200000014</c:v>
                </c:pt>
                <c:pt idx="117">
                  <c:v>25.417940299999998</c:v>
                </c:pt>
                <c:pt idx="118">
                  <c:v>25.441757400000029</c:v>
                </c:pt>
                <c:pt idx="119">
                  <c:v>25.467011300000024</c:v>
                </c:pt>
                <c:pt idx="120">
                  <c:v>25.497009000000048</c:v>
                </c:pt>
                <c:pt idx="121">
                  <c:v>25.530625500000042</c:v>
                </c:pt>
                <c:pt idx="122">
                  <c:v>25.570596899999998</c:v>
                </c:pt>
                <c:pt idx="123">
                  <c:v>25.611206500000037</c:v>
                </c:pt>
                <c:pt idx="124">
                  <c:v>25.65425330000005</c:v>
                </c:pt>
                <c:pt idx="125">
                  <c:v>25.384349900000018</c:v>
                </c:pt>
                <c:pt idx="126">
                  <c:v>25.215109100000006</c:v>
                </c:pt>
                <c:pt idx="127">
                  <c:v>25.204087100000038</c:v>
                </c:pt>
                <c:pt idx="128">
                  <c:v>25.184802100000013</c:v>
                </c:pt>
                <c:pt idx="129">
                  <c:v>25.467588500000033</c:v>
                </c:pt>
                <c:pt idx="130">
                  <c:v>25.844441800000027</c:v>
                </c:pt>
                <c:pt idx="131">
                  <c:v>26.157311100000015</c:v>
                </c:pt>
                <c:pt idx="132">
                  <c:v>26.242913700000031</c:v>
                </c:pt>
                <c:pt idx="133">
                  <c:v>25.764490100000046</c:v>
                </c:pt>
                <c:pt idx="134">
                  <c:v>25.426263100000028</c:v>
                </c:pt>
                <c:pt idx="135">
                  <c:v>25.661369300000047</c:v>
                </c:pt>
                <c:pt idx="136">
                  <c:v>25.869283800000005</c:v>
                </c:pt>
                <c:pt idx="137">
                  <c:v>26.133342200000016</c:v>
                </c:pt>
                <c:pt idx="138">
                  <c:v>26.39500860000004</c:v>
                </c:pt>
                <c:pt idx="139">
                  <c:v>26.26854000000003</c:v>
                </c:pt>
                <c:pt idx="140">
                  <c:v>25.499537500000031</c:v>
                </c:pt>
                <c:pt idx="141">
                  <c:v>25.490148800000043</c:v>
                </c:pt>
                <c:pt idx="142">
                  <c:v>25.837862200000018</c:v>
                </c:pt>
                <c:pt idx="143">
                  <c:v>25.748082199999999</c:v>
                </c:pt>
                <c:pt idx="144">
                  <c:v>25.427158200000008</c:v>
                </c:pt>
                <c:pt idx="145">
                  <c:v>26.158571700000039</c:v>
                </c:pt>
                <c:pt idx="146">
                  <c:v>26.40427840000001</c:v>
                </c:pt>
                <c:pt idx="147">
                  <c:v>25.836889100000008</c:v>
                </c:pt>
                <c:pt idx="148">
                  <c:v>25.378414100000043</c:v>
                </c:pt>
                <c:pt idx="149">
                  <c:v>26.143956100000025</c:v>
                </c:pt>
                <c:pt idx="150">
                  <c:v>26.328757200000041</c:v>
                </c:pt>
                <c:pt idx="151">
                  <c:v>25.786698300000012</c:v>
                </c:pt>
                <c:pt idx="152">
                  <c:v>25.826792699999999</c:v>
                </c:pt>
                <c:pt idx="153">
                  <c:v>26.453099500000008</c:v>
                </c:pt>
                <c:pt idx="154">
                  <c:v>26.11564530000004</c:v>
                </c:pt>
                <c:pt idx="155">
                  <c:v>25.435947400000032</c:v>
                </c:pt>
                <c:pt idx="156">
                  <c:v>25.842936100000031</c:v>
                </c:pt>
                <c:pt idx="157">
                  <c:v>26.455141900000001</c:v>
                </c:pt>
                <c:pt idx="158">
                  <c:v>26.096177699999998</c:v>
                </c:pt>
                <c:pt idx="159">
                  <c:v>25.631959800000004</c:v>
                </c:pt>
                <c:pt idx="160">
                  <c:v>26.262664600000051</c:v>
                </c:pt>
                <c:pt idx="161">
                  <c:v>26.552080700000033</c:v>
                </c:pt>
                <c:pt idx="162">
                  <c:v>25.837235399999997</c:v>
                </c:pt>
                <c:pt idx="163">
                  <c:v>25.544188700000007</c:v>
                </c:pt>
                <c:pt idx="164">
                  <c:v>26.173483000000033</c:v>
                </c:pt>
                <c:pt idx="165">
                  <c:v>26.306511100000023</c:v>
                </c:pt>
                <c:pt idx="166">
                  <c:v>25.721569500000044</c:v>
                </c:pt>
                <c:pt idx="167">
                  <c:v>25.691809599999999</c:v>
                </c:pt>
                <c:pt idx="168">
                  <c:v>26.311220100000014</c:v>
                </c:pt>
                <c:pt idx="169">
                  <c:v>26.079557899999998</c:v>
                </c:pt>
                <c:pt idx="170">
                  <c:v>25.406623700000011</c:v>
                </c:pt>
                <c:pt idx="171">
                  <c:v>25.633067600000004</c:v>
                </c:pt>
                <c:pt idx="172">
                  <c:v>25.95413400000001</c:v>
                </c:pt>
                <c:pt idx="173">
                  <c:v>26.647165099999995</c:v>
                </c:pt>
                <c:pt idx="174">
                  <c:v>26.7475594</c:v>
                </c:pt>
                <c:pt idx="175">
                  <c:v>26.67275410000002</c:v>
                </c:pt>
                <c:pt idx="176">
                  <c:v>26.6489014</c:v>
                </c:pt>
                <c:pt idx="177">
                  <c:v>26.788280100000009</c:v>
                </c:pt>
                <c:pt idx="178">
                  <c:v>26.803899400000034</c:v>
                </c:pt>
                <c:pt idx="179">
                  <c:v>26.797121100000027</c:v>
                </c:pt>
                <c:pt idx="180">
                  <c:v>26.787003700000014</c:v>
                </c:pt>
                <c:pt idx="181">
                  <c:v>26.777233600000045</c:v>
                </c:pt>
                <c:pt idx="182">
                  <c:v>26.769236800000044</c:v>
                </c:pt>
                <c:pt idx="183">
                  <c:v>26.762498600000015</c:v>
                </c:pt>
                <c:pt idx="184">
                  <c:v>26.754902700000002</c:v>
                </c:pt>
                <c:pt idx="185">
                  <c:v>26.745531300000039</c:v>
                </c:pt>
                <c:pt idx="186">
                  <c:v>26.73542070000002</c:v>
                </c:pt>
                <c:pt idx="187">
                  <c:v>26.72501440000002</c:v>
                </c:pt>
                <c:pt idx="188">
                  <c:v>26.714143000000035</c:v>
                </c:pt>
                <c:pt idx="189">
                  <c:v>26.7025486</c:v>
                </c:pt>
                <c:pt idx="190">
                  <c:v>26.690214900000001</c:v>
                </c:pt>
                <c:pt idx="191">
                  <c:v>26.677351600000009</c:v>
                </c:pt>
                <c:pt idx="192">
                  <c:v>26.664282300000025</c:v>
                </c:pt>
                <c:pt idx="193">
                  <c:v>26.652577400000041</c:v>
                </c:pt>
                <c:pt idx="194">
                  <c:v>26.641531000000043</c:v>
                </c:pt>
                <c:pt idx="195">
                  <c:v>26.630438400000003</c:v>
                </c:pt>
                <c:pt idx="196">
                  <c:v>26.619372400000032</c:v>
                </c:pt>
                <c:pt idx="197">
                  <c:v>26.608977300000049</c:v>
                </c:pt>
                <c:pt idx="198">
                  <c:v>26.60018070000001</c:v>
                </c:pt>
                <c:pt idx="199">
                  <c:v>26.592343500000027</c:v>
                </c:pt>
                <c:pt idx="200">
                  <c:v>26.584369800000047</c:v>
                </c:pt>
                <c:pt idx="201">
                  <c:v>26.575513200000046</c:v>
                </c:pt>
                <c:pt idx="202">
                  <c:v>26.568861700000014</c:v>
                </c:pt>
                <c:pt idx="203">
                  <c:v>26.56041620000002</c:v>
                </c:pt>
                <c:pt idx="204">
                  <c:v>26.55122730000005</c:v>
                </c:pt>
                <c:pt idx="205">
                  <c:v>26.543187100000011</c:v>
                </c:pt>
                <c:pt idx="206">
                  <c:v>26.538212600000008</c:v>
                </c:pt>
                <c:pt idx="207">
                  <c:v>26.535403300000041</c:v>
                </c:pt>
                <c:pt idx="208">
                  <c:v>26.532527500000015</c:v>
                </c:pt>
                <c:pt idx="209">
                  <c:v>26.528410600000029</c:v>
                </c:pt>
                <c:pt idx="210">
                  <c:v>26.522651800000006</c:v>
                </c:pt>
                <c:pt idx="211">
                  <c:v>26.517255599999999</c:v>
                </c:pt>
                <c:pt idx="212">
                  <c:v>26.518360600000051</c:v>
                </c:pt>
                <c:pt idx="213">
                  <c:v>26.530049200000008</c:v>
                </c:pt>
                <c:pt idx="214">
                  <c:v>26.551750800000036</c:v>
                </c:pt>
                <c:pt idx="215">
                  <c:v>26.579729299999997</c:v>
                </c:pt>
                <c:pt idx="216">
                  <c:v>26.61101530000002</c:v>
                </c:pt>
                <c:pt idx="217">
                  <c:v>26.649440300000037</c:v>
                </c:pt>
                <c:pt idx="218">
                  <c:v>26.691392500000006</c:v>
                </c:pt>
                <c:pt idx="219">
                  <c:v>26.734783400000026</c:v>
                </c:pt>
                <c:pt idx="220">
                  <c:v>26.778881300000023</c:v>
                </c:pt>
                <c:pt idx="221">
                  <c:v>26.134608600000035</c:v>
                </c:pt>
                <c:pt idx="222">
                  <c:v>25.197967800000015</c:v>
                </c:pt>
                <c:pt idx="223">
                  <c:v>24.941229399999997</c:v>
                </c:pt>
                <c:pt idx="224">
                  <c:v>25.016602400000011</c:v>
                </c:pt>
                <c:pt idx="225">
                  <c:v>25.907858500000032</c:v>
                </c:pt>
                <c:pt idx="226">
                  <c:v>26.559577200000035</c:v>
                </c:pt>
                <c:pt idx="227">
                  <c:v>26.978104300000041</c:v>
                </c:pt>
                <c:pt idx="228">
                  <c:v>26.511228700000004</c:v>
                </c:pt>
                <c:pt idx="229">
                  <c:v>25.580340300000046</c:v>
                </c:pt>
                <c:pt idx="230">
                  <c:v>25.297367000000008</c:v>
                </c:pt>
                <c:pt idx="231">
                  <c:v>25.532262600000024</c:v>
                </c:pt>
                <c:pt idx="232">
                  <c:v>25.951375700000028</c:v>
                </c:pt>
                <c:pt idx="233">
                  <c:v>26.65767500000004</c:v>
                </c:pt>
                <c:pt idx="234">
                  <c:v>27.060192099999995</c:v>
                </c:pt>
                <c:pt idx="235">
                  <c:v>26.486514999999997</c:v>
                </c:pt>
                <c:pt idx="236">
                  <c:v>25.685347000000036</c:v>
                </c:pt>
                <c:pt idx="237">
                  <c:v>25.570744900000022</c:v>
                </c:pt>
                <c:pt idx="238">
                  <c:v>25.669647999999995</c:v>
                </c:pt>
                <c:pt idx="239">
                  <c:v>25.757677100000024</c:v>
                </c:pt>
                <c:pt idx="240">
                  <c:v>25.745464700000014</c:v>
                </c:pt>
                <c:pt idx="241">
                  <c:v>26.659725100000003</c:v>
                </c:pt>
                <c:pt idx="242">
                  <c:v>26.976337400000034</c:v>
                </c:pt>
                <c:pt idx="243">
                  <c:v>26.209371500000032</c:v>
                </c:pt>
                <c:pt idx="244">
                  <c:v>25.493073300000049</c:v>
                </c:pt>
                <c:pt idx="245">
                  <c:v>25.90031110000001</c:v>
                </c:pt>
                <c:pt idx="246">
                  <c:v>26.136809200000016</c:v>
                </c:pt>
                <c:pt idx="247">
                  <c:v>25.984965200000033</c:v>
                </c:pt>
                <c:pt idx="248">
                  <c:v>26.496967500000039</c:v>
                </c:pt>
                <c:pt idx="249">
                  <c:v>27.146207200000049</c:v>
                </c:pt>
                <c:pt idx="250">
                  <c:v>26.359307999999999</c:v>
                </c:pt>
                <c:pt idx="251">
                  <c:v>25.590190600000028</c:v>
                </c:pt>
                <c:pt idx="252">
                  <c:v>25.827796000000035</c:v>
                </c:pt>
                <c:pt idx="253">
                  <c:v>26.101425400000039</c:v>
                </c:pt>
                <c:pt idx="254">
                  <c:v>25.911970800000006</c:v>
                </c:pt>
                <c:pt idx="255">
                  <c:v>26.294125199999996</c:v>
                </c:pt>
                <c:pt idx="256">
                  <c:v>27.099598300000025</c:v>
                </c:pt>
                <c:pt idx="257">
                  <c:v>26.566351600000019</c:v>
                </c:pt>
                <c:pt idx="258">
                  <c:v>25.623366000000033</c:v>
                </c:pt>
                <c:pt idx="259">
                  <c:v>25.745870600000046</c:v>
                </c:pt>
                <c:pt idx="260">
                  <c:v>26.109069200000022</c:v>
                </c:pt>
                <c:pt idx="261">
                  <c:v>25.827666899999997</c:v>
                </c:pt>
                <c:pt idx="262">
                  <c:v>26.008553500000005</c:v>
                </c:pt>
                <c:pt idx="263">
                  <c:v>26.904254700000024</c:v>
                </c:pt>
                <c:pt idx="264">
                  <c:v>26.615042900000049</c:v>
                </c:pt>
                <c:pt idx="265">
                  <c:v>25.694809500000019</c:v>
                </c:pt>
                <c:pt idx="266">
                  <c:v>25.406553900000006</c:v>
                </c:pt>
                <c:pt idx="267">
                  <c:v>25.5664984</c:v>
                </c:pt>
                <c:pt idx="268">
                  <c:v>25.605975600000022</c:v>
                </c:pt>
                <c:pt idx="269">
                  <c:v>26.99986530000001</c:v>
                </c:pt>
                <c:pt idx="270">
                  <c:v>27.154000900000028</c:v>
                </c:pt>
                <c:pt idx="271">
                  <c:v>27.149540900000034</c:v>
                </c:pt>
                <c:pt idx="272">
                  <c:v>27.170181700000001</c:v>
                </c:pt>
                <c:pt idx="273">
                  <c:v>27.342531100000031</c:v>
                </c:pt>
                <c:pt idx="274">
                  <c:v>27.366309200000046</c:v>
                </c:pt>
                <c:pt idx="275">
                  <c:v>27.363652100000024</c:v>
                </c:pt>
                <c:pt idx="276">
                  <c:v>27.357544100000041</c:v>
                </c:pt>
                <c:pt idx="277">
                  <c:v>27.351519600000017</c:v>
                </c:pt>
                <c:pt idx="278">
                  <c:v>27.346742000000006</c:v>
                </c:pt>
                <c:pt idx="279">
                  <c:v>27.341618100000005</c:v>
                </c:pt>
                <c:pt idx="280">
                  <c:v>27.335925000000032</c:v>
                </c:pt>
                <c:pt idx="281">
                  <c:v>27.33051260000002</c:v>
                </c:pt>
                <c:pt idx="282">
                  <c:v>27.324938099999997</c:v>
                </c:pt>
                <c:pt idx="283">
                  <c:v>27.319216900000015</c:v>
                </c:pt>
                <c:pt idx="284">
                  <c:v>27.313720700000033</c:v>
                </c:pt>
                <c:pt idx="285">
                  <c:v>27.308908700000018</c:v>
                </c:pt>
                <c:pt idx="286">
                  <c:v>27.305053900000019</c:v>
                </c:pt>
                <c:pt idx="287">
                  <c:v>27.302062599999999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1B-4E2D-B34F-C0E0AD18C720}"/>
            </c:ext>
          </c:extLst>
        </c:ser>
        <c:ser>
          <c:idx val="4"/>
          <c:order val="4"/>
          <c:tx>
            <c:strRef>
              <c:f>'with compensator'!$V$1</c:f>
              <c:strCache>
                <c:ptCount val="1"/>
                <c:pt idx="0">
                  <c:v>Twes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'with compensator'!$V$2:$V$289</c:f>
              <c:numCache>
                <c:formatCode>General</c:formatCode>
                <c:ptCount val="288"/>
                <c:pt idx="0">
                  <c:v>24</c:v>
                </c:pt>
                <c:pt idx="1">
                  <c:v>23.694675400000051</c:v>
                </c:pt>
                <c:pt idx="2">
                  <c:v>23.850598300000001</c:v>
                </c:pt>
                <c:pt idx="3">
                  <c:v>23.893444299999999</c:v>
                </c:pt>
                <c:pt idx="4">
                  <c:v>23.908895800000039</c:v>
                </c:pt>
                <c:pt idx="5">
                  <c:v>23.914911400000051</c:v>
                </c:pt>
                <c:pt idx="6">
                  <c:v>23.905552900000032</c:v>
                </c:pt>
                <c:pt idx="7">
                  <c:v>23.821082799999999</c:v>
                </c:pt>
                <c:pt idx="8">
                  <c:v>23.875828000000013</c:v>
                </c:pt>
                <c:pt idx="9">
                  <c:v>23.866821600000037</c:v>
                </c:pt>
                <c:pt idx="10">
                  <c:v>23.856230200000027</c:v>
                </c:pt>
                <c:pt idx="11">
                  <c:v>23.847853900000018</c:v>
                </c:pt>
                <c:pt idx="12">
                  <c:v>23.840864600000032</c:v>
                </c:pt>
                <c:pt idx="13">
                  <c:v>23.834675300000015</c:v>
                </c:pt>
                <c:pt idx="14">
                  <c:v>23.826989200000014</c:v>
                </c:pt>
                <c:pt idx="15">
                  <c:v>23.816619800000012</c:v>
                </c:pt>
                <c:pt idx="16">
                  <c:v>23.792209000000014</c:v>
                </c:pt>
                <c:pt idx="17">
                  <c:v>23.725671700000021</c:v>
                </c:pt>
                <c:pt idx="18">
                  <c:v>23.767751300000043</c:v>
                </c:pt>
                <c:pt idx="19">
                  <c:v>23.772570400000006</c:v>
                </c:pt>
                <c:pt idx="20">
                  <c:v>23.770252500000026</c:v>
                </c:pt>
                <c:pt idx="21">
                  <c:v>23.771543800000018</c:v>
                </c:pt>
                <c:pt idx="22">
                  <c:v>23.775303100000031</c:v>
                </c:pt>
                <c:pt idx="23">
                  <c:v>23.740001000000007</c:v>
                </c:pt>
                <c:pt idx="24">
                  <c:v>23.798658799999998</c:v>
                </c:pt>
                <c:pt idx="25">
                  <c:v>23.824390700000038</c:v>
                </c:pt>
                <c:pt idx="26">
                  <c:v>23.8618649</c:v>
                </c:pt>
                <c:pt idx="27">
                  <c:v>23.914924000000042</c:v>
                </c:pt>
                <c:pt idx="28">
                  <c:v>23.975248600000043</c:v>
                </c:pt>
                <c:pt idx="29">
                  <c:v>23.744599000000051</c:v>
                </c:pt>
                <c:pt idx="30">
                  <c:v>23.738293200000044</c:v>
                </c:pt>
                <c:pt idx="31">
                  <c:v>23.766438300000004</c:v>
                </c:pt>
                <c:pt idx="32">
                  <c:v>23.783782900000006</c:v>
                </c:pt>
                <c:pt idx="33">
                  <c:v>23.939007500000002</c:v>
                </c:pt>
                <c:pt idx="34">
                  <c:v>24.242904500000009</c:v>
                </c:pt>
                <c:pt idx="35">
                  <c:v>24.556545800000038</c:v>
                </c:pt>
                <c:pt idx="36">
                  <c:v>24.84146400000003</c:v>
                </c:pt>
                <c:pt idx="37">
                  <c:v>24.998307800000021</c:v>
                </c:pt>
                <c:pt idx="38">
                  <c:v>25.08155290000002</c:v>
                </c:pt>
                <c:pt idx="39">
                  <c:v>25.16980650000005</c:v>
                </c:pt>
                <c:pt idx="40">
                  <c:v>25.266936600000008</c:v>
                </c:pt>
                <c:pt idx="41">
                  <c:v>25.344636600000001</c:v>
                </c:pt>
                <c:pt idx="42">
                  <c:v>25.406029100000012</c:v>
                </c:pt>
                <c:pt idx="43">
                  <c:v>25.459677700000043</c:v>
                </c:pt>
                <c:pt idx="44">
                  <c:v>25.474842600000045</c:v>
                </c:pt>
                <c:pt idx="45">
                  <c:v>25.458442200000036</c:v>
                </c:pt>
                <c:pt idx="46">
                  <c:v>25.443280500000014</c:v>
                </c:pt>
                <c:pt idx="47">
                  <c:v>25.434466100000009</c:v>
                </c:pt>
                <c:pt idx="48">
                  <c:v>25.275472600000001</c:v>
                </c:pt>
                <c:pt idx="49">
                  <c:v>25.196599200000037</c:v>
                </c:pt>
                <c:pt idx="50">
                  <c:v>25.246538200000032</c:v>
                </c:pt>
                <c:pt idx="51">
                  <c:v>25.381405900000004</c:v>
                </c:pt>
                <c:pt idx="52">
                  <c:v>25.486101800000029</c:v>
                </c:pt>
                <c:pt idx="53">
                  <c:v>25.752000800000019</c:v>
                </c:pt>
                <c:pt idx="54">
                  <c:v>25.854474700000026</c:v>
                </c:pt>
                <c:pt idx="55">
                  <c:v>25.815683700000022</c:v>
                </c:pt>
                <c:pt idx="56">
                  <c:v>25.660966700000017</c:v>
                </c:pt>
                <c:pt idx="57">
                  <c:v>25.723493200000007</c:v>
                </c:pt>
                <c:pt idx="58">
                  <c:v>25.921303800000032</c:v>
                </c:pt>
                <c:pt idx="59">
                  <c:v>25.961926500000004</c:v>
                </c:pt>
                <c:pt idx="60">
                  <c:v>25.794636000000025</c:v>
                </c:pt>
                <c:pt idx="61">
                  <c:v>25.934880300000032</c:v>
                </c:pt>
                <c:pt idx="62">
                  <c:v>26.212388000000033</c:v>
                </c:pt>
                <c:pt idx="63">
                  <c:v>26.225150500000041</c:v>
                </c:pt>
                <c:pt idx="64">
                  <c:v>26.123231400000009</c:v>
                </c:pt>
                <c:pt idx="65">
                  <c:v>26.174101800000017</c:v>
                </c:pt>
                <c:pt idx="66">
                  <c:v>26.124221000000034</c:v>
                </c:pt>
                <c:pt idx="67">
                  <c:v>25.837858400000016</c:v>
                </c:pt>
                <c:pt idx="68">
                  <c:v>25.940355199999999</c:v>
                </c:pt>
                <c:pt idx="69">
                  <c:v>26.382212400000014</c:v>
                </c:pt>
                <c:pt idx="70">
                  <c:v>26.382962700000007</c:v>
                </c:pt>
                <c:pt idx="71">
                  <c:v>25.93087220000001</c:v>
                </c:pt>
                <c:pt idx="72">
                  <c:v>25.8585238</c:v>
                </c:pt>
                <c:pt idx="73">
                  <c:v>25.948095899999998</c:v>
                </c:pt>
                <c:pt idx="74">
                  <c:v>25.805728299999998</c:v>
                </c:pt>
                <c:pt idx="75">
                  <c:v>25.776709900000014</c:v>
                </c:pt>
                <c:pt idx="76">
                  <c:v>25.956238299999995</c:v>
                </c:pt>
                <c:pt idx="77">
                  <c:v>26.653974900000037</c:v>
                </c:pt>
                <c:pt idx="78">
                  <c:v>26.671843600000045</c:v>
                </c:pt>
                <c:pt idx="79">
                  <c:v>26.617195400000014</c:v>
                </c:pt>
                <c:pt idx="80">
                  <c:v>26.579567999999995</c:v>
                </c:pt>
                <c:pt idx="81">
                  <c:v>26.630451900000025</c:v>
                </c:pt>
                <c:pt idx="82">
                  <c:v>26.61518030000002</c:v>
                </c:pt>
                <c:pt idx="83">
                  <c:v>26.594280500000025</c:v>
                </c:pt>
                <c:pt idx="84">
                  <c:v>26.572250499999996</c:v>
                </c:pt>
                <c:pt idx="85">
                  <c:v>26.546937700000001</c:v>
                </c:pt>
                <c:pt idx="86">
                  <c:v>26.515409099999999</c:v>
                </c:pt>
                <c:pt idx="87">
                  <c:v>26.478803000000028</c:v>
                </c:pt>
                <c:pt idx="88">
                  <c:v>26.437206500000002</c:v>
                </c:pt>
                <c:pt idx="89">
                  <c:v>26.417603700000029</c:v>
                </c:pt>
                <c:pt idx="90">
                  <c:v>26.395149100000026</c:v>
                </c:pt>
                <c:pt idx="91">
                  <c:v>26.373827700000049</c:v>
                </c:pt>
                <c:pt idx="92">
                  <c:v>26.35204490000001</c:v>
                </c:pt>
                <c:pt idx="93">
                  <c:v>26.328879900000004</c:v>
                </c:pt>
                <c:pt idx="94">
                  <c:v>26.304789000000028</c:v>
                </c:pt>
                <c:pt idx="95">
                  <c:v>26.277969600000006</c:v>
                </c:pt>
                <c:pt idx="96">
                  <c:v>26.229480700000011</c:v>
                </c:pt>
                <c:pt idx="97">
                  <c:v>26.202951400000018</c:v>
                </c:pt>
                <c:pt idx="98">
                  <c:v>26.180058900000006</c:v>
                </c:pt>
                <c:pt idx="99">
                  <c:v>26.158817900000031</c:v>
                </c:pt>
                <c:pt idx="100">
                  <c:v>26.139580899999999</c:v>
                </c:pt>
                <c:pt idx="101">
                  <c:v>26.122711600000002</c:v>
                </c:pt>
                <c:pt idx="102">
                  <c:v>26.107511299999999</c:v>
                </c:pt>
                <c:pt idx="103">
                  <c:v>26.092908899999998</c:v>
                </c:pt>
                <c:pt idx="104">
                  <c:v>26.077168500000028</c:v>
                </c:pt>
                <c:pt idx="105">
                  <c:v>26.057436600000017</c:v>
                </c:pt>
                <c:pt idx="106">
                  <c:v>26.03342200000003</c:v>
                </c:pt>
                <c:pt idx="107">
                  <c:v>26.006922099999997</c:v>
                </c:pt>
                <c:pt idx="108">
                  <c:v>25.981758100000036</c:v>
                </c:pt>
                <c:pt idx="109">
                  <c:v>25.961427200000003</c:v>
                </c:pt>
                <c:pt idx="110">
                  <c:v>25.945716100000027</c:v>
                </c:pt>
                <c:pt idx="111">
                  <c:v>25.936002700000017</c:v>
                </c:pt>
                <c:pt idx="112">
                  <c:v>25.933174100000031</c:v>
                </c:pt>
                <c:pt idx="113">
                  <c:v>25.934654000000023</c:v>
                </c:pt>
                <c:pt idx="114">
                  <c:v>25.92948750000005</c:v>
                </c:pt>
                <c:pt idx="115">
                  <c:v>25.927046200000007</c:v>
                </c:pt>
                <c:pt idx="116">
                  <c:v>25.924543900000003</c:v>
                </c:pt>
                <c:pt idx="117">
                  <c:v>25.924602800000002</c:v>
                </c:pt>
                <c:pt idx="118">
                  <c:v>25.927587100000039</c:v>
                </c:pt>
                <c:pt idx="119">
                  <c:v>25.933740999999998</c:v>
                </c:pt>
                <c:pt idx="120">
                  <c:v>25.945334900000034</c:v>
                </c:pt>
                <c:pt idx="121">
                  <c:v>25.963704800000016</c:v>
                </c:pt>
                <c:pt idx="122">
                  <c:v>25.991882900000007</c:v>
                </c:pt>
                <c:pt idx="123">
                  <c:v>26.02671650000002</c:v>
                </c:pt>
                <c:pt idx="124">
                  <c:v>26.065163000000041</c:v>
                </c:pt>
                <c:pt idx="125">
                  <c:v>25.742264599999999</c:v>
                </c:pt>
                <c:pt idx="126">
                  <c:v>25.427395799999999</c:v>
                </c:pt>
                <c:pt idx="127">
                  <c:v>25.418239100000051</c:v>
                </c:pt>
                <c:pt idx="128">
                  <c:v>25.443365500000027</c:v>
                </c:pt>
                <c:pt idx="129">
                  <c:v>25.763888199999997</c:v>
                </c:pt>
                <c:pt idx="130">
                  <c:v>26.163710600000002</c:v>
                </c:pt>
                <c:pt idx="131">
                  <c:v>26.359712600000023</c:v>
                </c:pt>
                <c:pt idx="132">
                  <c:v>26.141911400000026</c:v>
                </c:pt>
                <c:pt idx="133">
                  <c:v>25.638295800000037</c:v>
                </c:pt>
                <c:pt idx="134">
                  <c:v>25.537258199999997</c:v>
                </c:pt>
                <c:pt idx="135">
                  <c:v>25.718729900000028</c:v>
                </c:pt>
                <c:pt idx="136">
                  <c:v>25.863034400000004</c:v>
                </c:pt>
                <c:pt idx="137">
                  <c:v>26.184610100000043</c:v>
                </c:pt>
                <c:pt idx="138">
                  <c:v>26.470047399999999</c:v>
                </c:pt>
                <c:pt idx="139">
                  <c:v>26.12561850000003</c:v>
                </c:pt>
                <c:pt idx="140">
                  <c:v>25.433364600000004</c:v>
                </c:pt>
                <c:pt idx="141">
                  <c:v>25.606295200000034</c:v>
                </c:pt>
                <c:pt idx="142">
                  <c:v>25.86714070000005</c:v>
                </c:pt>
                <c:pt idx="143">
                  <c:v>25.685694600000033</c:v>
                </c:pt>
                <c:pt idx="144">
                  <c:v>25.43311060000002</c:v>
                </c:pt>
                <c:pt idx="145">
                  <c:v>26.207066200000042</c:v>
                </c:pt>
                <c:pt idx="146">
                  <c:v>26.458164699999998</c:v>
                </c:pt>
                <c:pt idx="147">
                  <c:v>25.890477599999997</c:v>
                </c:pt>
                <c:pt idx="148">
                  <c:v>25.40264430000002</c:v>
                </c:pt>
                <c:pt idx="149">
                  <c:v>26.108346700000027</c:v>
                </c:pt>
                <c:pt idx="150">
                  <c:v>26.326277800000014</c:v>
                </c:pt>
                <c:pt idx="151">
                  <c:v>25.951793699999996</c:v>
                </c:pt>
                <c:pt idx="152">
                  <c:v>25.990718200000003</c:v>
                </c:pt>
                <c:pt idx="153">
                  <c:v>26.6243786</c:v>
                </c:pt>
                <c:pt idx="154">
                  <c:v>26.364970600000049</c:v>
                </c:pt>
                <c:pt idx="155">
                  <c:v>25.743155900000033</c:v>
                </c:pt>
                <c:pt idx="156">
                  <c:v>26.046252500000037</c:v>
                </c:pt>
                <c:pt idx="157">
                  <c:v>26.689901200000008</c:v>
                </c:pt>
                <c:pt idx="158">
                  <c:v>26.481361900000024</c:v>
                </c:pt>
                <c:pt idx="159">
                  <c:v>26.027564000000041</c:v>
                </c:pt>
                <c:pt idx="160">
                  <c:v>26.544963400000029</c:v>
                </c:pt>
                <c:pt idx="161">
                  <c:v>26.927683100000024</c:v>
                </c:pt>
                <c:pt idx="162">
                  <c:v>26.75699800000001</c:v>
                </c:pt>
                <c:pt idx="163">
                  <c:v>26.043893500000024</c:v>
                </c:pt>
                <c:pt idx="164">
                  <c:v>26.245554300000038</c:v>
                </c:pt>
                <c:pt idx="165">
                  <c:v>26.724175900000034</c:v>
                </c:pt>
                <c:pt idx="166">
                  <c:v>26.43663650000002</c:v>
                </c:pt>
                <c:pt idx="167">
                  <c:v>26.013688300000013</c:v>
                </c:pt>
                <c:pt idx="168">
                  <c:v>26.635441900000046</c:v>
                </c:pt>
                <c:pt idx="169">
                  <c:v>26.779110000000003</c:v>
                </c:pt>
                <c:pt idx="170">
                  <c:v>26.110497800000019</c:v>
                </c:pt>
                <c:pt idx="171">
                  <c:v>25.74427460000004</c:v>
                </c:pt>
                <c:pt idx="172">
                  <c:v>26.191835200000014</c:v>
                </c:pt>
                <c:pt idx="173">
                  <c:v>27.542462499999999</c:v>
                </c:pt>
                <c:pt idx="174">
                  <c:v>27.614149800000007</c:v>
                </c:pt>
                <c:pt idx="175">
                  <c:v>27.536379199999999</c:v>
                </c:pt>
                <c:pt idx="176">
                  <c:v>27.503632700000026</c:v>
                </c:pt>
                <c:pt idx="177">
                  <c:v>27.610984200000019</c:v>
                </c:pt>
                <c:pt idx="178">
                  <c:v>27.606265000000008</c:v>
                </c:pt>
                <c:pt idx="179">
                  <c:v>27.586793600000021</c:v>
                </c:pt>
                <c:pt idx="180">
                  <c:v>27.564894700000025</c:v>
                </c:pt>
                <c:pt idx="181">
                  <c:v>27.543056000000036</c:v>
                </c:pt>
                <c:pt idx="182">
                  <c:v>27.522235500000022</c:v>
                </c:pt>
                <c:pt idx="183">
                  <c:v>27.502223300000026</c:v>
                </c:pt>
                <c:pt idx="184">
                  <c:v>27.482158500000025</c:v>
                </c:pt>
                <c:pt idx="185">
                  <c:v>27.461452100000031</c:v>
                </c:pt>
                <c:pt idx="186">
                  <c:v>27.441183100000046</c:v>
                </c:pt>
                <c:pt idx="187">
                  <c:v>27.421431200000029</c:v>
                </c:pt>
                <c:pt idx="188">
                  <c:v>27.401855100000034</c:v>
                </c:pt>
                <c:pt idx="189">
                  <c:v>27.382023900000036</c:v>
                </c:pt>
                <c:pt idx="190">
                  <c:v>27.361940500000003</c:v>
                </c:pt>
                <c:pt idx="191">
                  <c:v>27.341758500000026</c:v>
                </c:pt>
                <c:pt idx="192">
                  <c:v>27.321862800000019</c:v>
                </c:pt>
                <c:pt idx="193">
                  <c:v>27.303270700000041</c:v>
                </c:pt>
                <c:pt idx="194">
                  <c:v>27.285585800000035</c:v>
                </c:pt>
                <c:pt idx="195">
                  <c:v>27.26864820000003</c:v>
                </c:pt>
                <c:pt idx="196">
                  <c:v>27.25235710000004</c:v>
                </c:pt>
                <c:pt idx="197">
                  <c:v>27.237280100000021</c:v>
                </c:pt>
                <c:pt idx="198">
                  <c:v>27.223112000000015</c:v>
                </c:pt>
                <c:pt idx="199">
                  <c:v>27.196742300000039</c:v>
                </c:pt>
                <c:pt idx="200">
                  <c:v>27.17383940000002</c:v>
                </c:pt>
                <c:pt idx="201">
                  <c:v>27.15261780000003</c:v>
                </c:pt>
                <c:pt idx="202">
                  <c:v>27.127912100000003</c:v>
                </c:pt>
                <c:pt idx="203">
                  <c:v>27.103488400000003</c:v>
                </c:pt>
                <c:pt idx="204">
                  <c:v>27.085049000000026</c:v>
                </c:pt>
                <c:pt idx="205">
                  <c:v>27.081451300000026</c:v>
                </c:pt>
                <c:pt idx="206">
                  <c:v>27.094248400000026</c:v>
                </c:pt>
                <c:pt idx="207">
                  <c:v>27.092254000000025</c:v>
                </c:pt>
                <c:pt idx="208">
                  <c:v>27.083076900000037</c:v>
                </c:pt>
                <c:pt idx="209">
                  <c:v>27.072207500000047</c:v>
                </c:pt>
                <c:pt idx="210">
                  <c:v>27.05980900000003</c:v>
                </c:pt>
                <c:pt idx="211">
                  <c:v>27.047342800000024</c:v>
                </c:pt>
                <c:pt idx="212">
                  <c:v>27.038181300000019</c:v>
                </c:pt>
                <c:pt idx="213">
                  <c:v>27.035921700000017</c:v>
                </c:pt>
                <c:pt idx="214">
                  <c:v>27.040445800000043</c:v>
                </c:pt>
                <c:pt idx="215">
                  <c:v>27.034638800000039</c:v>
                </c:pt>
                <c:pt idx="216">
                  <c:v>27.038802900000007</c:v>
                </c:pt>
                <c:pt idx="217">
                  <c:v>27.051987200000042</c:v>
                </c:pt>
                <c:pt idx="218">
                  <c:v>27.074157400000047</c:v>
                </c:pt>
                <c:pt idx="219">
                  <c:v>27.104026300000044</c:v>
                </c:pt>
                <c:pt idx="220">
                  <c:v>27.137179900000035</c:v>
                </c:pt>
                <c:pt idx="221">
                  <c:v>26.512409300000002</c:v>
                </c:pt>
                <c:pt idx="222">
                  <c:v>25.51040660000001</c:v>
                </c:pt>
                <c:pt idx="223">
                  <c:v>24.877774400000021</c:v>
                </c:pt>
                <c:pt idx="224">
                  <c:v>24.920068200000003</c:v>
                </c:pt>
                <c:pt idx="225">
                  <c:v>25.803922999999998</c:v>
                </c:pt>
                <c:pt idx="226">
                  <c:v>26.830883700000015</c:v>
                </c:pt>
                <c:pt idx="227">
                  <c:v>27.173327700000016</c:v>
                </c:pt>
                <c:pt idx="228">
                  <c:v>26.699223600000039</c:v>
                </c:pt>
                <c:pt idx="229">
                  <c:v>25.624584400000003</c:v>
                </c:pt>
                <c:pt idx="230">
                  <c:v>25.273969100000045</c:v>
                </c:pt>
                <c:pt idx="231">
                  <c:v>25.396161500000005</c:v>
                </c:pt>
                <c:pt idx="232">
                  <c:v>25.810240000000022</c:v>
                </c:pt>
                <c:pt idx="233">
                  <c:v>26.609340400000008</c:v>
                </c:pt>
                <c:pt idx="234">
                  <c:v>27.135506300000031</c:v>
                </c:pt>
                <c:pt idx="235">
                  <c:v>26.598216700000023</c:v>
                </c:pt>
                <c:pt idx="236">
                  <c:v>25.693560100000013</c:v>
                </c:pt>
                <c:pt idx="237">
                  <c:v>25.533387400000038</c:v>
                </c:pt>
                <c:pt idx="238">
                  <c:v>25.583801800000003</c:v>
                </c:pt>
                <c:pt idx="239">
                  <c:v>25.595342200000005</c:v>
                </c:pt>
                <c:pt idx="240">
                  <c:v>25.614626000000044</c:v>
                </c:pt>
                <c:pt idx="241">
                  <c:v>26.665034900000023</c:v>
                </c:pt>
                <c:pt idx="242">
                  <c:v>27.004524900000035</c:v>
                </c:pt>
                <c:pt idx="243">
                  <c:v>26.299665200000049</c:v>
                </c:pt>
                <c:pt idx="244">
                  <c:v>25.527081900000042</c:v>
                </c:pt>
                <c:pt idx="245">
                  <c:v>25.912260300000014</c:v>
                </c:pt>
                <c:pt idx="246">
                  <c:v>26.072482600000001</c:v>
                </c:pt>
                <c:pt idx="247">
                  <c:v>26.014576900000009</c:v>
                </c:pt>
                <c:pt idx="248">
                  <c:v>26.579076400000019</c:v>
                </c:pt>
                <c:pt idx="249">
                  <c:v>27.260973700000022</c:v>
                </c:pt>
                <c:pt idx="250">
                  <c:v>26.662360100000001</c:v>
                </c:pt>
                <c:pt idx="251">
                  <c:v>25.83022040000003</c:v>
                </c:pt>
                <c:pt idx="252">
                  <c:v>25.932261700000026</c:v>
                </c:pt>
                <c:pt idx="253">
                  <c:v>26.17394390000004</c:v>
                </c:pt>
                <c:pt idx="254">
                  <c:v>26.103338800000017</c:v>
                </c:pt>
                <c:pt idx="255">
                  <c:v>26.467833600000006</c:v>
                </c:pt>
                <c:pt idx="256">
                  <c:v>27.235610100000031</c:v>
                </c:pt>
                <c:pt idx="257">
                  <c:v>26.94820500000003</c:v>
                </c:pt>
                <c:pt idx="258">
                  <c:v>26.025903600000049</c:v>
                </c:pt>
                <c:pt idx="259">
                  <c:v>25.977556300000003</c:v>
                </c:pt>
                <c:pt idx="260">
                  <c:v>26.298135600000023</c:v>
                </c:pt>
                <c:pt idx="261">
                  <c:v>26.118311400000039</c:v>
                </c:pt>
                <c:pt idx="262">
                  <c:v>26.221171600000048</c:v>
                </c:pt>
                <c:pt idx="263">
                  <c:v>27.059282600000017</c:v>
                </c:pt>
                <c:pt idx="264">
                  <c:v>26.859895900000026</c:v>
                </c:pt>
                <c:pt idx="265">
                  <c:v>26.253613200000018</c:v>
                </c:pt>
                <c:pt idx="266">
                  <c:v>25.626256400000045</c:v>
                </c:pt>
                <c:pt idx="267">
                  <c:v>25.700117000000034</c:v>
                </c:pt>
                <c:pt idx="268">
                  <c:v>25.831037000000038</c:v>
                </c:pt>
                <c:pt idx="269">
                  <c:v>27.551628200000039</c:v>
                </c:pt>
                <c:pt idx="270">
                  <c:v>27.683115600000008</c:v>
                </c:pt>
                <c:pt idx="271">
                  <c:v>27.671607600000016</c:v>
                </c:pt>
                <c:pt idx="272">
                  <c:v>27.68311170000004</c:v>
                </c:pt>
                <c:pt idx="273">
                  <c:v>27.834660799999995</c:v>
                </c:pt>
                <c:pt idx="274">
                  <c:v>27.84202300000004</c:v>
                </c:pt>
                <c:pt idx="275">
                  <c:v>27.822055300000045</c:v>
                </c:pt>
                <c:pt idx="276">
                  <c:v>27.803820400000006</c:v>
                </c:pt>
                <c:pt idx="277">
                  <c:v>27.791901900000028</c:v>
                </c:pt>
                <c:pt idx="278">
                  <c:v>27.787361599999997</c:v>
                </c:pt>
                <c:pt idx="279">
                  <c:v>27.784930200000019</c:v>
                </c:pt>
                <c:pt idx="280">
                  <c:v>27.77201070000001</c:v>
                </c:pt>
                <c:pt idx="281">
                  <c:v>27.759173200000021</c:v>
                </c:pt>
                <c:pt idx="282">
                  <c:v>27.746370000000013</c:v>
                </c:pt>
                <c:pt idx="283">
                  <c:v>27.733620599999995</c:v>
                </c:pt>
                <c:pt idx="284">
                  <c:v>27.721242600000039</c:v>
                </c:pt>
                <c:pt idx="285">
                  <c:v>27.709625900000049</c:v>
                </c:pt>
                <c:pt idx="286">
                  <c:v>27.698963200000037</c:v>
                </c:pt>
                <c:pt idx="287">
                  <c:v>27.689217900000017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1B-4E2D-B34F-C0E0AD18C720}"/>
            </c:ext>
          </c:extLst>
        </c:ser>
        <c:ser>
          <c:idx val="5"/>
          <c:order val="5"/>
          <c:tx>
            <c:strRef>
              <c:f>'with compensator'!$W$1</c:f>
              <c:strCache>
                <c:ptCount val="1"/>
                <c:pt idx="0">
                  <c:v>Tcor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'with compensator'!$W$2:$W$289</c:f>
              <c:numCache>
                <c:formatCode>General</c:formatCode>
                <c:ptCount val="288"/>
                <c:pt idx="0">
                  <c:v>24.62506060000004</c:v>
                </c:pt>
                <c:pt idx="1">
                  <c:v>24.417504699999995</c:v>
                </c:pt>
                <c:pt idx="2">
                  <c:v>24.530194600000016</c:v>
                </c:pt>
                <c:pt idx="3">
                  <c:v>24.58387730000004</c:v>
                </c:pt>
                <c:pt idx="4">
                  <c:v>24.578345000000013</c:v>
                </c:pt>
                <c:pt idx="5">
                  <c:v>24.593411700000047</c:v>
                </c:pt>
                <c:pt idx="6">
                  <c:v>24.617545700000051</c:v>
                </c:pt>
                <c:pt idx="7">
                  <c:v>24.633565200000021</c:v>
                </c:pt>
                <c:pt idx="8">
                  <c:v>24.587507300000027</c:v>
                </c:pt>
                <c:pt idx="9">
                  <c:v>24.578567399999997</c:v>
                </c:pt>
                <c:pt idx="10">
                  <c:v>24.575878400000022</c:v>
                </c:pt>
                <c:pt idx="11">
                  <c:v>24.574921600000039</c:v>
                </c:pt>
                <c:pt idx="12">
                  <c:v>24.573959200000047</c:v>
                </c:pt>
                <c:pt idx="13">
                  <c:v>24.570577100000037</c:v>
                </c:pt>
                <c:pt idx="14">
                  <c:v>24.563275300000043</c:v>
                </c:pt>
                <c:pt idx="15">
                  <c:v>24.554247000000032</c:v>
                </c:pt>
                <c:pt idx="16">
                  <c:v>24.547325400000034</c:v>
                </c:pt>
                <c:pt idx="17">
                  <c:v>24.564992400000051</c:v>
                </c:pt>
                <c:pt idx="18">
                  <c:v>24.549435200000005</c:v>
                </c:pt>
                <c:pt idx="19">
                  <c:v>24.542570500000011</c:v>
                </c:pt>
                <c:pt idx="20">
                  <c:v>24.505029900000011</c:v>
                </c:pt>
                <c:pt idx="21">
                  <c:v>24.515130100000022</c:v>
                </c:pt>
                <c:pt idx="22">
                  <c:v>24.544198100000017</c:v>
                </c:pt>
                <c:pt idx="23">
                  <c:v>24.56980180000005</c:v>
                </c:pt>
                <c:pt idx="24">
                  <c:v>24.567805700000008</c:v>
                </c:pt>
                <c:pt idx="25">
                  <c:v>24.583616400000039</c:v>
                </c:pt>
                <c:pt idx="26">
                  <c:v>24.609642000000008</c:v>
                </c:pt>
                <c:pt idx="27">
                  <c:v>24.634870300000046</c:v>
                </c:pt>
                <c:pt idx="28">
                  <c:v>24.665746900000045</c:v>
                </c:pt>
                <c:pt idx="29">
                  <c:v>24.643459500000006</c:v>
                </c:pt>
                <c:pt idx="30">
                  <c:v>24.610452699999996</c:v>
                </c:pt>
                <c:pt idx="31">
                  <c:v>24.622549700000036</c:v>
                </c:pt>
                <c:pt idx="32">
                  <c:v>24.633835200000021</c:v>
                </c:pt>
                <c:pt idx="33">
                  <c:v>24.75529640000002</c:v>
                </c:pt>
                <c:pt idx="34">
                  <c:v>24.994497800000033</c:v>
                </c:pt>
                <c:pt idx="35">
                  <c:v>25.245383200000049</c:v>
                </c:pt>
                <c:pt idx="36">
                  <c:v>25.476036100000044</c:v>
                </c:pt>
                <c:pt idx="37">
                  <c:v>25.61021960000005</c:v>
                </c:pt>
                <c:pt idx="38">
                  <c:v>25.687917500000026</c:v>
                </c:pt>
                <c:pt idx="39">
                  <c:v>25.764657700000043</c:v>
                </c:pt>
                <c:pt idx="40">
                  <c:v>25.842120700000009</c:v>
                </c:pt>
                <c:pt idx="41">
                  <c:v>25.900713499999995</c:v>
                </c:pt>
                <c:pt idx="42">
                  <c:v>25.945281800000032</c:v>
                </c:pt>
                <c:pt idx="43">
                  <c:v>25.997604200000012</c:v>
                </c:pt>
                <c:pt idx="44">
                  <c:v>26.038859800000012</c:v>
                </c:pt>
                <c:pt idx="45">
                  <c:v>26.052746900000045</c:v>
                </c:pt>
                <c:pt idx="46">
                  <c:v>26.071289200000024</c:v>
                </c:pt>
                <c:pt idx="47">
                  <c:v>26.09140160000004</c:v>
                </c:pt>
                <c:pt idx="48">
                  <c:v>26.129790800000023</c:v>
                </c:pt>
                <c:pt idx="49">
                  <c:v>25.997935400000017</c:v>
                </c:pt>
                <c:pt idx="50">
                  <c:v>26.022583300000008</c:v>
                </c:pt>
                <c:pt idx="51">
                  <c:v>26.089944800000012</c:v>
                </c:pt>
                <c:pt idx="52">
                  <c:v>26.14365760000004</c:v>
                </c:pt>
                <c:pt idx="53">
                  <c:v>26.316701000000023</c:v>
                </c:pt>
                <c:pt idx="54">
                  <c:v>26.359761900000024</c:v>
                </c:pt>
                <c:pt idx="55">
                  <c:v>26.399599899999998</c:v>
                </c:pt>
                <c:pt idx="56">
                  <c:v>26.282951300000036</c:v>
                </c:pt>
                <c:pt idx="57">
                  <c:v>26.256764300000043</c:v>
                </c:pt>
                <c:pt idx="58">
                  <c:v>26.373546099999999</c:v>
                </c:pt>
                <c:pt idx="59">
                  <c:v>26.401189500000044</c:v>
                </c:pt>
                <c:pt idx="60">
                  <c:v>26.327723700000035</c:v>
                </c:pt>
                <c:pt idx="61">
                  <c:v>26.301552800000024</c:v>
                </c:pt>
                <c:pt idx="62">
                  <c:v>26.41408100000001</c:v>
                </c:pt>
                <c:pt idx="63">
                  <c:v>26.423196700000005</c:v>
                </c:pt>
                <c:pt idx="64">
                  <c:v>26.435914400000001</c:v>
                </c:pt>
                <c:pt idx="65">
                  <c:v>26.403473899999995</c:v>
                </c:pt>
                <c:pt idx="66">
                  <c:v>26.372760400000004</c:v>
                </c:pt>
                <c:pt idx="67">
                  <c:v>26.221070200000042</c:v>
                </c:pt>
                <c:pt idx="68">
                  <c:v>26.227088200000026</c:v>
                </c:pt>
                <c:pt idx="69">
                  <c:v>26.322891400000003</c:v>
                </c:pt>
                <c:pt idx="70">
                  <c:v>26.438598800000022</c:v>
                </c:pt>
                <c:pt idx="71">
                  <c:v>26.241008800000031</c:v>
                </c:pt>
                <c:pt idx="72">
                  <c:v>26.141858200000001</c:v>
                </c:pt>
                <c:pt idx="73">
                  <c:v>26.077554000000021</c:v>
                </c:pt>
                <c:pt idx="74">
                  <c:v>26.034948200000031</c:v>
                </c:pt>
                <c:pt idx="75">
                  <c:v>25.938168900000051</c:v>
                </c:pt>
                <c:pt idx="76">
                  <c:v>25.868845000000022</c:v>
                </c:pt>
                <c:pt idx="77">
                  <c:v>26.041423699999996</c:v>
                </c:pt>
                <c:pt idx="78">
                  <c:v>26.118449600000019</c:v>
                </c:pt>
                <c:pt idx="79">
                  <c:v>26.122784300000035</c:v>
                </c:pt>
                <c:pt idx="80">
                  <c:v>26.119436300000018</c:v>
                </c:pt>
                <c:pt idx="81">
                  <c:v>26.154725100000007</c:v>
                </c:pt>
                <c:pt idx="82">
                  <c:v>26.156361300000015</c:v>
                </c:pt>
                <c:pt idx="83">
                  <c:v>26.151114300000017</c:v>
                </c:pt>
                <c:pt idx="84">
                  <c:v>26.151419700000019</c:v>
                </c:pt>
                <c:pt idx="85">
                  <c:v>26.163314000000014</c:v>
                </c:pt>
                <c:pt idx="86">
                  <c:v>26.178330100000039</c:v>
                </c:pt>
                <c:pt idx="87">
                  <c:v>26.187402399999996</c:v>
                </c:pt>
                <c:pt idx="88">
                  <c:v>26.182854700000007</c:v>
                </c:pt>
                <c:pt idx="89">
                  <c:v>26.165728700000045</c:v>
                </c:pt>
                <c:pt idx="90">
                  <c:v>26.152808100000016</c:v>
                </c:pt>
                <c:pt idx="91">
                  <c:v>26.140307900000039</c:v>
                </c:pt>
                <c:pt idx="92">
                  <c:v>26.12973820000002</c:v>
                </c:pt>
                <c:pt idx="93">
                  <c:v>26.124925399999995</c:v>
                </c:pt>
                <c:pt idx="94">
                  <c:v>26.120807100000036</c:v>
                </c:pt>
                <c:pt idx="95">
                  <c:v>26.108603500000015</c:v>
                </c:pt>
                <c:pt idx="96">
                  <c:v>26.101837799999998</c:v>
                </c:pt>
                <c:pt idx="97">
                  <c:v>26.092249300000049</c:v>
                </c:pt>
                <c:pt idx="98">
                  <c:v>26.080076399999996</c:v>
                </c:pt>
                <c:pt idx="99">
                  <c:v>26.06735980000002</c:v>
                </c:pt>
                <c:pt idx="100">
                  <c:v>26.056787100000008</c:v>
                </c:pt>
                <c:pt idx="101">
                  <c:v>26.048921600000028</c:v>
                </c:pt>
                <c:pt idx="102">
                  <c:v>26.041731700000014</c:v>
                </c:pt>
                <c:pt idx="103">
                  <c:v>26.034396200000003</c:v>
                </c:pt>
                <c:pt idx="104">
                  <c:v>26.026227300000016</c:v>
                </c:pt>
                <c:pt idx="105">
                  <c:v>26.015076000000022</c:v>
                </c:pt>
                <c:pt idx="106">
                  <c:v>26.001433399999996</c:v>
                </c:pt>
                <c:pt idx="107">
                  <c:v>25.988319500000046</c:v>
                </c:pt>
                <c:pt idx="108">
                  <c:v>25.977089700000022</c:v>
                </c:pt>
                <c:pt idx="109">
                  <c:v>25.968012500000043</c:v>
                </c:pt>
                <c:pt idx="110">
                  <c:v>25.958871400000021</c:v>
                </c:pt>
                <c:pt idx="111">
                  <c:v>25.948377400000027</c:v>
                </c:pt>
                <c:pt idx="112">
                  <c:v>25.936824200000046</c:v>
                </c:pt>
                <c:pt idx="113">
                  <c:v>25.9256575</c:v>
                </c:pt>
                <c:pt idx="114">
                  <c:v>25.928214100000048</c:v>
                </c:pt>
                <c:pt idx="115">
                  <c:v>25.926125900000045</c:v>
                </c:pt>
                <c:pt idx="116">
                  <c:v>25.930954799999995</c:v>
                </c:pt>
                <c:pt idx="117">
                  <c:v>26.124246300000038</c:v>
                </c:pt>
                <c:pt idx="118">
                  <c:v>26.062179400000048</c:v>
                </c:pt>
                <c:pt idx="119">
                  <c:v>26.090962900000022</c:v>
                </c:pt>
                <c:pt idx="120">
                  <c:v>26.117955900000027</c:v>
                </c:pt>
                <c:pt idx="121">
                  <c:v>26.140227700000025</c:v>
                </c:pt>
                <c:pt idx="122">
                  <c:v>26.16529730000002</c:v>
                </c:pt>
                <c:pt idx="123">
                  <c:v>26.193769000000032</c:v>
                </c:pt>
                <c:pt idx="124">
                  <c:v>26.232518800000037</c:v>
                </c:pt>
                <c:pt idx="125">
                  <c:v>26.05939810000001</c:v>
                </c:pt>
                <c:pt idx="126">
                  <c:v>25.773652500000026</c:v>
                </c:pt>
                <c:pt idx="127">
                  <c:v>25.782038900000032</c:v>
                </c:pt>
                <c:pt idx="128">
                  <c:v>25.814918500000033</c:v>
                </c:pt>
                <c:pt idx="129">
                  <c:v>26.095759500000042</c:v>
                </c:pt>
                <c:pt idx="130">
                  <c:v>26.432535500000029</c:v>
                </c:pt>
                <c:pt idx="131">
                  <c:v>26.562422900000001</c:v>
                </c:pt>
                <c:pt idx="132">
                  <c:v>26.338801000000046</c:v>
                </c:pt>
                <c:pt idx="133">
                  <c:v>26.014736900000003</c:v>
                </c:pt>
                <c:pt idx="134">
                  <c:v>26.056057900000042</c:v>
                </c:pt>
                <c:pt idx="135">
                  <c:v>26.125958000000026</c:v>
                </c:pt>
                <c:pt idx="136">
                  <c:v>26.165824799999996</c:v>
                </c:pt>
                <c:pt idx="137">
                  <c:v>26.425102700000025</c:v>
                </c:pt>
                <c:pt idx="138">
                  <c:v>26.644958599999995</c:v>
                </c:pt>
                <c:pt idx="139">
                  <c:v>26.349124700000004</c:v>
                </c:pt>
                <c:pt idx="140">
                  <c:v>25.96928390000005</c:v>
                </c:pt>
                <c:pt idx="141">
                  <c:v>26.12615420000003</c:v>
                </c:pt>
                <c:pt idx="142">
                  <c:v>26.264907400000027</c:v>
                </c:pt>
                <c:pt idx="143">
                  <c:v>26.099222300000008</c:v>
                </c:pt>
                <c:pt idx="144">
                  <c:v>25.91719310000002</c:v>
                </c:pt>
                <c:pt idx="145">
                  <c:v>26.473465400000009</c:v>
                </c:pt>
                <c:pt idx="146">
                  <c:v>26.671915600000034</c:v>
                </c:pt>
                <c:pt idx="147">
                  <c:v>26.388467100000014</c:v>
                </c:pt>
                <c:pt idx="148">
                  <c:v>25.957638400000008</c:v>
                </c:pt>
                <c:pt idx="149">
                  <c:v>26.339390900000012</c:v>
                </c:pt>
                <c:pt idx="150">
                  <c:v>26.491194900000039</c:v>
                </c:pt>
                <c:pt idx="151">
                  <c:v>26.341506600000002</c:v>
                </c:pt>
                <c:pt idx="152">
                  <c:v>26.281987200000003</c:v>
                </c:pt>
                <c:pt idx="153">
                  <c:v>26.660402000000033</c:v>
                </c:pt>
                <c:pt idx="154">
                  <c:v>26.525963000000047</c:v>
                </c:pt>
                <c:pt idx="155">
                  <c:v>26.08142840000005</c:v>
                </c:pt>
                <c:pt idx="156">
                  <c:v>26.147241000000008</c:v>
                </c:pt>
                <c:pt idx="157">
                  <c:v>26.56339440000005</c:v>
                </c:pt>
                <c:pt idx="158">
                  <c:v>26.45017260000003</c:v>
                </c:pt>
                <c:pt idx="159">
                  <c:v>26.110836500000005</c:v>
                </c:pt>
                <c:pt idx="160">
                  <c:v>26.392145800000037</c:v>
                </c:pt>
                <c:pt idx="161">
                  <c:v>26.655566800000031</c:v>
                </c:pt>
                <c:pt idx="162">
                  <c:v>26.558375300000023</c:v>
                </c:pt>
                <c:pt idx="163">
                  <c:v>26.014186400000028</c:v>
                </c:pt>
                <c:pt idx="164">
                  <c:v>26.073620400000038</c:v>
                </c:pt>
                <c:pt idx="165">
                  <c:v>26.437531200000024</c:v>
                </c:pt>
                <c:pt idx="166">
                  <c:v>26.251390500000014</c:v>
                </c:pt>
                <c:pt idx="167">
                  <c:v>25.938982800000019</c:v>
                </c:pt>
                <c:pt idx="168">
                  <c:v>26.376459900000043</c:v>
                </c:pt>
                <c:pt idx="169">
                  <c:v>26.499187900000038</c:v>
                </c:pt>
                <c:pt idx="170">
                  <c:v>26.03025980000001</c:v>
                </c:pt>
                <c:pt idx="171">
                  <c:v>25.728191600000002</c:v>
                </c:pt>
                <c:pt idx="172">
                  <c:v>26.059671900000012</c:v>
                </c:pt>
                <c:pt idx="173">
                  <c:v>26.987540000000024</c:v>
                </c:pt>
                <c:pt idx="174">
                  <c:v>27.081368300000008</c:v>
                </c:pt>
                <c:pt idx="175">
                  <c:v>27.044072300000039</c:v>
                </c:pt>
                <c:pt idx="176">
                  <c:v>27.036985800000025</c:v>
                </c:pt>
                <c:pt idx="177">
                  <c:v>27.117689400000017</c:v>
                </c:pt>
                <c:pt idx="178">
                  <c:v>27.129074900000035</c:v>
                </c:pt>
                <c:pt idx="179">
                  <c:v>27.12555530000003</c:v>
                </c:pt>
                <c:pt idx="180">
                  <c:v>27.117499600000031</c:v>
                </c:pt>
                <c:pt idx="181">
                  <c:v>27.105854700000009</c:v>
                </c:pt>
                <c:pt idx="182">
                  <c:v>27.092425500000047</c:v>
                </c:pt>
                <c:pt idx="183">
                  <c:v>27.079501200000038</c:v>
                </c:pt>
                <c:pt idx="184">
                  <c:v>27.068740600000012</c:v>
                </c:pt>
                <c:pt idx="185">
                  <c:v>27.059201300000041</c:v>
                </c:pt>
                <c:pt idx="186">
                  <c:v>27.050160500000004</c:v>
                </c:pt>
                <c:pt idx="187">
                  <c:v>27.04181090000003</c:v>
                </c:pt>
                <c:pt idx="188">
                  <c:v>27.033849099999998</c:v>
                </c:pt>
                <c:pt idx="189">
                  <c:v>27.025862200000006</c:v>
                </c:pt>
                <c:pt idx="190">
                  <c:v>27.0178181</c:v>
                </c:pt>
                <c:pt idx="191">
                  <c:v>27.009616700000038</c:v>
                </c:pt>
                <c:pt idx="192">
                  <c:v>27.001215700000046</c:v>
                </c:pt>
                <c:pt idx="193">
                  <c:v>26.993099500000028</c:v>
                </c:pt>
                <c:pt idx="194">
                  <c:v>26.985249900000042</c:v>
                </c:pt>
                <c:pt idx="195">
                  <c:v>26.977633300000036</c:v>
                </c:pt>
                <c:pt idx="196">
                  <c:v>26.970250000000021</c:v>
                </c:pt>
                <c:pt idx="197">
                  <c:v>26.962331600000027</c:v>
                </c:pt>
                <c:pt idx="198">
                  <c:v>26.954305000000033</c:v>
                </c:pt>
                <c:pt idx="199">
                  <c:v>26.943666400000041</c:v>
                </c:pt>
                <c:pt idx="200">
                  <c:v>26.934850400000016</c:v>
                </c:pt>
                <c:pt idx="201">
                  <c:v>26.927799500000049</c:v>
                </c:pt>
                <c:pt idx="202">
                  <c:v>26.918538100000035</c:v>
                </c:pt>
                <c:pt idx="203">
                  <c:v>26.906769700000041</c:v>
                </c:pt>
                <c:pt idx="204">
                  <c:v>26.893728199999998</c:v>
                </c:pt>
                <c:pt idx="205">
                  <c:v>26.882456100000013</c:v>
                </c:pt>
                <c:pt idx="206">
                  <c:v>26.876209500000016</c:v>
                </c:pt>
                <c:pt idx="207">
                  <c:v>26.868370500000026</c:v>
                </c:pt>
                <c:pt idx="208">
                  <c:v>26.860031200000037</c:v>
                </c:pt>
                <c:pt idx="209">
                  <c:v>26.851814200000035</c:v>
                </c:pt>
                <c:pt idx="210">
                  <c:v>26.843251000000009</c:v>
                </c:pt>
                <c:pt idx="211">
                  <c:v>26.834563900000035</c:v>
                </c:pt>
                <c:pt idx="212">
                  <c:v>26.829199000000017</c:v>
                </c:pt>
                <c:pt idx="213">
                  <c:v>26.831093900000042</c:v>
                </c:pt>
                <c:pt idx="214">
                  <c:v>26.840819199999999</c:v>
                </c:pt>
                <c:pt idx="215">
                  <c:v>26.851282700000013</c:v>
                </c:pt>
                <c:pt idx="216">
                  <c:v>26.863562600000023</c:v>
                </c:pt>
                <c:pt idx="217">
                  <c:v>26.876212199999998</c:v>
                </c:pt>
                <c:pt idx="218">
                  <c:v>26.89578640000002</c:v>
                </c:pt>
                <c:pt idx="219">
                  <c:v>26.922998300000017</c:v>
                </c:pt>
                <c:pt idx="220">
                  <c:v>26.957995700000026</c:v>
                </c:pt>
                <c:pt idx="221">
                  <c:v>26.642795400000011</c:v>
                </c:pt>
                <c:pt idx="222">
                  <c:v>26.010507000000018</c:v>
                </c:pt>
                <c:pt idx="223">
                  <c:v>25.424411500000019</c:v>
                </c:pt>
                <c:pt idx="224">
                  <c:v>25.414304200000004</c:v>
                </c:pt>
                <c:pt idx="225">
                  <c:v>25.998019499999998</c:v>
                </c:pt>
                <c:pt idx="226">
                  <c:v>26.846875300000022</c:v>
                </c:pt>
                <c:pt idx="227">
                  <c:v>27.12689210000002</c:v>
                </c:pt>
                <c:pt idx="228">
                  <c:v>26.916579400000046</c:v>
                </c:pt>
                <c:pt idx="229">
                  <c:v>26.150030700000002</c:v>
                </c:pt>
                <c:pt idx="230">
                  <c:v>25.838934900000027</c:v>
                </c:pt>
                <c:pt idx="231">
                  <c:v>25.844172600000036</c:v>
                </c:pt>
                <c:pt idx="232">
                  <c:v>26.130714400000045</c:v>
                </c:pt>
                <c:pt idx="233">
                  <c:v>26.63546180000003</c:v>
                </c:pt>
                <c:pt idx="234">
                  <c:v>27.06301940000003</c:v>
                </c:pt>
                <c:pt idx="235">
                  <c:v>26.878244300000006</c:v>
                </c:pt>
                <c:pt idx="236">
                  <c:v>26.251110100000005</c:v>
                </c:pt>
                <c:pt idx="237">
                  <c:v>26.030777200000045</c:v>
                </c:pt>
                <c:pt idx="238">
                  <c:v>26.033729800000003</c:v>
                </c:pt>
                <c:pt idx="239">
                  <c:v>26.03269350000005</c:v>
                </c:pt>
                <c:pt idx="240">
                  <c:v>25.974729800000034</c:v>
                </c:pt>
                <c:pt idx="241">
                  <c:v>26.72739770000004</c:v>
                </c:pt>
                <c:pt idx="242">
                  <c:v>27.040117400000042</c:v>
                </c:pt>
                <c:pt idx="243">
                  <c:v>26.64352580000002</c:v>
                </c:pt>
                <c:pt idx="244">
                  <c:v>26.105144300000006</c:v>
                </c:pt>
                <c:pt idx="245">
                  <c:v>26.263107100000013</c:v>
                </c:pt>
                <c:pt idx="246">
                  <c:v>26.312597000000039</c:v>
                </c:pt>
                <c:pt idx="247">
                  <c:v>26.269495400000039</c:v>
                </c:pt>
                <c:pt idx="248">
                  <c:v>26.622748400000035</c:v>
                </c:pt>
                <c:pt idx="249">
                  <c:v>27.101691500000015</c:v>
                </c:pt>
                <c:pt idx="250">
                  <c:v>26.731709200000012</c:v>
                </c:pt>
                <c:pt idx="251">
                  <c:v>26.225885800000015</c:v>
                </c:pt>
                <c:pt idx="252">
                  <c:v>26.186836700000015</c:v>
                </c:pt>
                <c:pt idx="253">
                  <c:v>26.267001100000016</c:v>
                </c:pt>
                <c:pt idx="254">
                  <c:v>26.208311200000026</c:v>
                </c:pt>
                <c:pt idx="255">
                  <c:v>26.42442090000003</c:v>
                </c:pt>
                <c:pt idx="256">
                  <c:v>26.940684099999999</c:v>
                </c:pt>
                <c:pt idx="257">
                  <c:v>26.752795300000002</c:v>
                </c:pt>
                <c:pt idx="258">
                  <c:v>26.18012920000001</c:v>
                </c:pt>
                <c:pt idx="259">
                  <c:v>26.10813040000005</c:v>
                </c:pt>
                <c:pt idx="260">
                  <c:v>26.266772800000012</c:v>
                </c:pt>
                <c:pt idx="261">
                  <c:v>26.139440500000035</c:v>
                </c:pt>
                <c:pt idx="262">
                  <c:v>26.199223000000018</c:v>
                </c:pt>
                <c:pt idx="263">
                  <c:v>26.743877300000008</c:v>
                </c:pt>
                <c:pt idx="264">
                  <c:v>26.617944899999998</c:v>
                </c:pt>
                <c:pt idx="265">
                  <c:v>26.2200962</c:v>
                </c:pt>
                <c:pt idx="266">
                  <c:v>25.786628800000017</c:v>
                </c:pt>
                <c:pt idx="267">
                  <c:v>25.822852000000012</c:v>
                </c:pt>
                <c:pt idx="268">
                  <c:v>25.89486260000001</c:v>
                </c:pt>
                <c:pt idx="269">
                  <c:v>27.032379000000049</c:v>
                </c:pt>
                <c:pt idx="270">
                  <c:v>27.153331400000013</c:v>
                </c:pt>
                <c:pt idx="271">
                  <c:v>27.149372600000049</c:v>
                </c:pt>
                <c:pt idx="272">
                  <c:v>27.166778800000031</c:v>
                </c:pt>
                <c:pt idx="273">
                  <c:v>27.289201700000035</c:v>
                </c:pt>
                <c:pt idx="274">
                  <c:v>27.329220100000043</c:v>
                </c:pt>
                <c:pt idx="275">
                  <c:v>27.35114040000002</c:v>
                </c:pt>
                <c:pt idx="276">
                  <c:v>27.36010680000004</c:v>
                </c:pt>
                <c:pt idx="277">
                  <c:v>27.358366799999999</c:v>
                </c:pt>
                <c:pt idx="278">
                  <c:v>27.356239200000005</c:v>
                </c:pt>
                <c:pt idx="279">
                  <c:v>27.352685600000029</c:v>
                </c:pt>
                <c:pt idx="280">
                  <c:v>27.344832800000006</c:v>
                </c:pt>
                <c:pt idx="281">
                  <c:v>27.336746800000014</c:v>
                </c:pt>
                <c:pt idx="282">
                  <c:v>27.328485900000032</c:v>
                </c:pt>
                <c:pt idx="283">
                  <c:v>27.319591000000003</c:v>
                </c:pt>
                <c:pt idx="284">
                  <c:v>27.309950700000002</c:v>
                </c:pt>
                <c:pt idx="285">
                  <c:v>27.299442900000031</c:v>
                </c:pt>
                <c:pt idx="286">
                  <c:v>27.288641600000005</c:v>
                </c:pt>
                <c:pt idx="287">
                  <c:v>27.278439000000049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1B-4E2D-B34F-C0E0AD18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080672"/>
        <c:axId val="374001312"/>
      </c:lineChart>
      <c:catAx>
        <c:axId val="53608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3-day simulation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001312"/>
        <c:crosses val="autoZero"/>
        <c:auto val="1"/>
        <c:lblAlgn val="ctr"/>
        <c:lblOffset val="100"/>
        <c:noMultiLvlLbl val="0"/>
      </c:catAx>
      <c:valAx>
        <c:axId val="374001312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[C]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8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590549</xdr:colOff>
      <xdr:row>6</xdr:row>
      <xdr:rowOff>33336</xdr:rowOff>
    </xdr:from>
    <xdr:to>
      <xdr:col>13</xdr:col>
      <xdr:colOff>600074</xdr:colOff>
      <xdr:row>30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8D33E-4BB5-4E54-8C95-F5756B396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5</xdr:row>
      <xdr:rowOff>52385</xdr:rowOff>
    </xdr:from>
    <xdr:to>
      <xdr:col>16</xdr:col>
      <xdr:colOff>466724</xdr:colOff>
      <xdr:row>32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7E2923-D08F-4CDE-A063-7023BADCA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9"/>
  <sheetViews>
    <sheetView workbookViewId="0">
      <selection activeCell="P2" sqref="P2"/>
    </sheetView>
  </sheetViews>
  <sheetFormatPr defaultRowHeight="15" x14ac:dyDescent="0.25"/>
  <sheetData>
    <row r="1" spans="1:2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Y1" t="s">
        <v>21</v>
      </c>
    </row>
    <row r="2" spans="1:25" x14ac:dyDescent="0.25">
      <c r="A2">
        <v>0</v>
      </c>
      <c r="B2" s="1">
        <v>2.6942359454551398E-13</v>
      </c>
      <c r="C2" s="1">
        <v>2.5585116247839302E-13</v>
      </c>
      <c r="D2" s="1">
        <v>2.6942359454551398E-13</v>
      </c>
      <c r="E2" s="1">
        <v>1.98995348594305E-13</v>
      </c>
      <c r="F2">
        <v>0.1</v>
      </c>
      <c r="G2" s="1">
        <v>2.27172323416527E-12</v>
      </c>
      <c r="H2">
        <v>297.14999999999998</v>
      </c>
      <c r="I2">
        <v>297.14999999999998</v>
      </c>
      <c r="J2">
        <v>297.14999999999998</v>
      </c>
      <c r="K2">
        <v>297.14999999999998</v>
      </c>
      <c r="L2">
        <v>297.14999999999998</v>
      </c>
      <c r="M2">
        <v>294.45</v>
      </c>
      <c r="N2">
        <v>0.66</v>
      </c>
      <c r="O2" s="1">
        <v>-3.5467519092178602E-25</v>
      </c>
      <c r="P2">
        <v>3685.806</v>
      </c>
      <c r="Q2">
        <v>299.14999999999998</v>
      </c>
      <c r="R2">
        <f>IF(MOD(Y2,24)&lt;7,30,(IF(MOD(Y2,24)&lt;20,26,30)))</f>
        <v>30</v>
      </c>
      <c r="S2">
        <f>H2-273.15</f>
        <v>24</v>
      </c>
      <c r="T2">
        <f t="shared" ref="T2:W2" si="0">I2-273.15</f>
        <v>24</v>
      </c>
      <c r="U2">
        <f t="shared" si="0"/>
        <v>24</v>
      </c>
      <c r="V2">
        <f t="shared" si="0"/>
        <v>24</v>
      </c>
      <c r="W2">
        <f t="shared" si="0"/>
        <v>24</v>
      </c>
      <c r="Y2">
        <v>0</v>
      </c>
    </row>
    <row r="3" spans="1:25" x14ac:dyDescent="0.25">
      <c r="A3">
        <v>0</v>
      </c>
      <c r="B3">
        <v>1.05633325914218E-4</v>
      </c>
      <c r="C3">
        <v>1.00311961456835E-4</v>
      </c>
      <c r="D3">
        <v>1.05633325914218E-4</v>
      </c>
      <c r="E3" s="1">
        <v>7.8020414466427597E-5</v>
      </c>
      <c r="F3">
        <v>0.1</v>
      </c>
      <c r="G3">
        <v>8.9067772607181702E-4</v>
      </c>
      <c r="H3">
        <v>296.87031159878501</v>
      </c>
      <c r="I3">
        <v>296.88996720393499</v>
      </c>
      <c r="J3">
        <v>296.870058746263</v>
      </c>
      <c r="K3">
        <v>296.84467542844101</v>
      </c>
      <c r="L3">
        <v>297.05033896267003</v>
      </c>
      <c r="M3">
        <v>294.224999999999</v>
      </c>
      <c r="N3">
        <v>0.70128102022058803</v>
      </c>
      <c r="O3" s="1">
        <v>-5.4520666322515301E-8</v>
      </c>
      <c r="Q3">
        <v>299.14999999999998</v>
      </c>
      <c r="R3">
        <f t="shared" ref="R3:R66" si="1">IF(MOD(Y3,24)&lt;7,30,(IF(MOD(Y3,24)&lt;20,26,30)))</f>
        <v>30</v>
      </c>
      <c r="S3">
        <f t="shared" ref="S3:S66" si="2">H3-273.15</f>
        <v>23.720311598785031</v>
      </c>
      <c r="T3">
        <f t="shared" ref="T3:T66" si="3">I3-273.15</f>
        <v>23.739967203935009</v>
      </c>
      <c r="U3">
        <f t="shared" ref="U3:U66" si="4">J3-273.15</f>
        <v>23.720058746263021</v>
      </c>
      <c r="V3">
        <f t="shared" ref="V3:V66" si="5">K3-273.15</f>
        <v>23.69467542844103</v>
      </c>
      <c r="W3">
        <f t="shared" ref="W3:W66" si="6">L3-273.15</f>
        <v>23.900338962670048</v>
      </c>
      <c r="Y3">
        <v>0.25</v>
      </c>
    </row>
    <row r="4" spans="1:25" x14ac:dyDescent="0.25">
      <c r="A4">
        <v>0</v>
      </c>
      <c r="B4">
        <v>1.00808840558794E-4</v>
      </c>
      <c r="C4" s="1">
        <v>9.5730513463671504E-5</v>
      </c>
      <c r="D4">
        <v>1.0080884055879299E-4</v>
      </c>
      <c r="E4" s="1">
        <v>7.4457066027299305E-5</v>
      </c>
      <c r="F4">
        <v>0.1</v>
      </c>
      <c r="G4">
        <v>8.4999852879039605E-4</v>
      </c>
      <c r="H4">
        <v>296.93172618232501</v>
      </c>
      <c r="I4">
        <v>297.00640778512599</v>
      </c>
      <c r="J4">
        <v>297.00007076459599</v>
      </c>
      <c r="K4">
        <v>297.00059832245603</v>
      </c>
      <c r="L4">
        <v>297.11185593414598</v>
      </c>
      <c r="M4">
        <v>294</v>
      </c>
      <c r="N4">
        <v>0.76596507352941101</v>
      </c>
      <c r="O4" s="1">
        <v>-4.9654237776491E-8</v>
      </c>
      <c r="Q4">
        <v>299.14999999999998</v>
      </c>
      <c r="R4">
        <f t="shared" si="1"/>
        <v>30</v>
      </c>
      <c r="S4">
        <f t="shared" si="2"/>
        <v>23.781726182325031</v>
      </c>
      <c r="T4">
        <f t="shared" si="3"/>
        <v>23.856407785126009</v>
      </c>
      <c r="U4">
        <f t="shared" si="4"/>
        <v>23.850070764596012</v>
      </c>
      <c r="V4">
        <f t="shared" si="5"/>
        <v>23.850598322456051</v>
      </c>
      <c r="W4">
        <f t="shared" si="6"/>
        <v>23.961855934146001</v>
      </c>
      <c r="Y4">
        <v>0.5</v>
      </c>
    </row>
    <row r="5" spans="1:25" x14ac:dyDescent="0.25">
      <c r="A5">
        <v>0</v>
      </c>
      <c r="B5">
        <v>1.01048110574492E-4</v>
      </c>
      <c r="C5" s="1">
        <v>9.5957730058132901E-5</v>
      </c>
      <c r="D5">
        <v>1.0104811057448501E-4</v>
      </c>
      <c r="E5" s="1">
        <v>7.4633790045262205E-5</v>
      </c>
      <c r="F5">
        <v>0.1</v>
      </c>
      <c r="G5">
        <v>8.5201584677065795E-4</v>
      </c>
      <c r="H5">
        <v>297.02648016520402</v>
      </c>
      <c r="I5">
        <v>296.97603551020501</v>
      </c>
      <c r="J5">
        <v>297.029129946117</v>
      </c>
      <c r="K5">
        <v>297.04344433544799</v>
      </c>
      <c r="L5">
        <v>297.14756007682098</v>
      </c>
      <c r="M5">
        <v>293.77499999999998</v>
      </c>
      <c r="N5">
        <v>0.830166590073529</v>
      </c>
      <c r="O5" s="1">
        <v>-4.98902081906799E-8</v>
      </c>
      <c r="Q5">
        <v>299.14999999999998</v>
      </c>
      <c r="R5">
        <f t="shared" si="1"/>
        <v>30</v>
      </c>
      <c r="S5">
        <f t="shared" si="2"/>
        <v>23.876480165204043</v>
      </c>
      <c r="T5">
        <f t="shared" si="3"/>
        <v>23.826035510205031</v>
      </c>
      <c r="U5">
        <f t="shared" si="4"/>
        <v>23.879129946117018</v>
      </c>
      <c r="V5">
        <f t="shared" si="5"/>
        <v>23.893444335448009</v>
      </c>
      <c r="W5">
        <f t="shared" si="6"/>
        <v>23.997560076821003</v>
      </c>
      <c r="Y5">
        <v>0.75</v>
      </c>
    </row>
    <row r="6" spans="1:25" x14ac:dyDescent="0.25">
      <c r="A6">
        <v>0</v>
      </c>
      <c r="B6">
        <v>1.0556415733219401E-4</v>
      </c>
      <c r="C6">
        <v>1.00246277296979E-4</v>
      </c>
      <c r="D6">
        <v>1.05564157332228E-4</v>
      </c>
      <c r="E6" s="1">
        <v>7.7969326787208105E-5</v>
      </c>
      <c r="F6">
        <v>0.1</v>
      </c>
      <c r="G6">
        <v>8.90094109548364E-4</v>
      </c>
      <c r="H6">
        <v>297.051016548897</v>
      </c>
      <c r="I6">
        <v>297.04706551186899</v>
      </c>
      <c r="J6">
        <v>296.964033434398</v>
      </c>
      <c r="K6">
        <v>297.05889581720203</v>
      </c>
      <c r="L6">
        <v>297.16538595676099</v>
      </c>
      <c r="M6">
        <v>293.54999999999899</v>
      </c>
      <c r="N6">
        <v>0.87</v>
      </c>
      <c r="O6" s="1">
        <v>-5.4449240404806697E-8</v>
      </c>
      <c r="Q6">
        <v>299.14999999999998</v>
      </c>
      <c r="R6">
        <f t="shared" si="1"/>
        <v>30</v>
      </c>
      <c r="S6">
        <f t="shared" si="2"/>
        <v>23.901016548897019</v>
      </c>
      <c r="T6">
        <f t="shared" si="3"/>
        <v>23.897065511869016</v>
      </c>
      <c r="U6">
        <f t="shared" si="4"/>
        <v>23.814033434398027</v>
      </c>
      <c r="V6">
        <f t="shared" si="5"/>
        <v>23.908895817202051</v>
      </c>
      <c r="W6">
        <f t="shared" si="6"/>
        <v>24.015385956761008</v>
      </c>
      <c r="Y6">
        <v>1</v>
      </c>
    </row>
    <row r="7" spans="1:25" x14ac:dyDescent="0.25">
      <c r="A7">
        <v>0</v>
      </c>
      <c r="B7">
        <v>1.02169503976764E-4</v>
      </c>
      <c r="C7" s="1">
        <v>9.7022632358558997E-5</v>
      </c>
      <c r="D7">
        <v>1.02169503976827E-4</v>
      </c>
      <c r="E7" s="1">
        <v>7.5462047389720502E-5</v>
      </c>
      <c r="F7">
        <v>0.1</v>
      </c>
      <c r="G7">
        <v>8.6147103004257004E-4</v>
      </c>
      <c r="H7">
        <v>297.056538058981</v>
      </c>
      <c r="I7">
        <v>297.01695277805402</v>
      </c>
      <c r="J7">
        <v>296.97921641804601</v>
      </c>
      <c r="K7">
        <v>297.06491144061903</v>
      </c>
      <c r="L7">
        <v>297.16970818759899</v>
      </c>
      <c r="M7">
        <v>293.32499999999999</v>
      </c>
      <c r="N7">
        <v>0.88817758413461501</v>
      </c>
      <c r="O7" s="1">
        <v>-5.1003658154388803E-8</v>
      </c>
      <c r="Q7">
        <v>299.14999999999998</v>
      </c>
      <c r="R7">
        <f t="shared" si="1"/>
        <v>30</v>
      </c>
      <c r="S7">
        <f t="shared" si="2"/>
        <v>23.906538058981027</v>
      </c>
      <c r="T7">
        <f t="shared" si="3"/>
        <v>23.866952778054042</v>
      </c>
      <c r="U7">
        <f t="shared" si="4"/>
        <v>23.82921641804603</v>
      </c>
      <c r="V7">
        <f t="shared" si="5"/>
        <v>23.914911440619051</v>
      </c>
      <c r="W7">
        <f t="shared" si="6"/>
        <v>24.019708187599008</v>
      </c>
      <c r="Y7">
        <v>1.25</v>
      </c>
    </row>
    <row r="8" spans="1:25" x14ac:dyDescent="0.25">
      <c r="A8">
        <v>0</v>
      </c>
      <c r="B8">
        <v>1.06701122499905E-4</v>
      </c>
      <c r="C8">
        <v>1.0132596692376801E-4</v>
      </c>
      <c r="D8">
        <v>1.06701122500044E-4</v>
      </c>
      <c r="E8" s="1">
        <v>7.8809085385130793E-5</v>
      </c>
      <c r="F8">
        <v>0.1</v>
      </c>
      <c r="G8">
        <v>8.99680558064743E-4</v>
      </c>
      <c r="H8">
        <v>296.97623308798899</v>
      </c>
      <c r="I8">
        <v>297.02318648694802</v>
      </c>
      <c r="J8">
        <v>297.037803537576</v>
      </c>
      <c r="K8">
        <v>297.05555292331098</v>
      </c>
      <c r="L8">
        <v>297.16840566258998</v>
      </c>
      <c r="M8">
        <v>293.099999999999</v>
      </c>
      <c r="N8">
        <v>0.90378605769230702</v>
      </c>
      <c r="O8" s="1">
        <v>-5.5628409457496499E-8</v>
      </c>
      <c r="Q8">
        <v>299.14999999999998</v>
      </c>
      <c r="R8">
        <f t="shared" si="1"/>
        <v>30</v>
      </c>
      <c r="S8">
        <f t="shared" si="2"/>
        <v>23.82623308798901</v>
      </c>
      <c r="T8">
        <f t="shared" si="3"/>
        <v>23.873186486948043</v>
      </c>
      <c r="U8">
        <f t="shared" si="4"/>
        <v>23.887803537576019</v>
      </c>
      <c r="V8">
        <f t="shared" si="5"/>
        <v>23.905552923311006</v>
      </c>
      <c r="W8">
        <f t="shared" si="6"/>
        <v>24.018405662589998</v>
      </c>
      <c r="Y8">
        <v>1.5</v>
      </c>
    </row>
    <row r="9" spans="1:25" x14ac:dyDescent="0.25">
      <c r="A9">
        <v>0</v>
      </c>
      <c r="B9">
        <v>1.00275618608189E-4</v>
      </c>
      <c r="C9" s="1">
        <v>9.52241530011335E-5</v>
      </c>
      <c r="D9">
        <v>1.00275618608137E-4</v>
      </c>
      <c r="E9" s="1">
        <v>7.4063230112032198E-5</v>
      </c>
      <c r="F9">
        <v>0.1</v>
      </c>
      <c r="G9">
        <v>8.4550199654404804E-4</v>
      </c>
      <c r="H9">
        <v>297.01877751768399</v>
      </c>
      <c r="I9">
        <v>297.04327961467698</v>
      </c>
      <c r="J9">
        <v>297.02497582476201</v>
      </c>
      <c r="K9">
        <v>296.97108278995</v>
      </c>
      <c r="L9">
        <v>297.16393827751602</v>
      </c>
      <c r="M9">
        <v>292.875</v>
      </c>
      <c r="N9">
        <v>0.91750150240384598</v>
      </c>
      <c r="O9" s="1">
        <v>-4.9130280817969401E-8</v>
      </c>
      <c r="Q9">
        <v>299.14999999999998</v>
      </c>
      <c r="R9">
        <f t="shared" si="1"/>
        <v>30</v>
      </c>
      <c r="S9">
        <f t="shared" si="2"/>
        <v>23.868777517684009</v>
      </c>
      <c r="T9">
        <f t="shared" si="3"/>
        <v>23.893279614676999</v>
      </c>
      <c r="U9">
        <f t="shared" si="4"/>
        <v>23.874975824762032</v>
      </c>
      <c r="V9">
        <f t="shared" si="5"/>
        <v>23.821082789950026</v>
      </c>
      <c r="W9">
        <f t="shared" si="6"/>
        <v>24.013938277516047</v>
      </c>
      <c r="Y9">
        <v>1.75</v>
      </c>
    </row>
    <row r="10" spans="1:25" x14ac:dyDescent="0.25">
      <c r="A10">
        <v>0</v>
      </c>
      <c r="B10">
        <v>1.0604696863304E-4</v>
      </c>
      <c r="C10">
        <v>1.00704766588195E-4</v>
      </c>
      <c r="D10">
        <v>1.06046968633015E-4</v>
      </c>
      <c r="E10" s="1">
        <v>7.8325929568619907E-5</v>
      </c>
      <c r="F10">
        <v>0.1</v>
      </c>
      <c r="G10">
        <v>8.9416471252861697E-4</v>
      </c>
      <c r="H10">
        <v>297.024762624262</v>
      </c>
      <c r="I10">
        <v>297.03389796669802</v>
      </c>
      <c r="J10">
        <v>296.92696279465099</v>
      </c>
      <c r="K10">
        <v>297.02582796156997</v>
      </c>
      <c r="L10">
        <v>297.15769686743499</v>
      </c>
      <c r="M10">
        <v>292.64999999999998</v>
      </c>
      <c r="N10">
        <v>0.93</v>
      </c>
      <c r="O10" s="1">
        <v>-5.4948396720535099E-8</v>
      </c>
      <c r="Q10">
        <v>299.14999999999998</v>
      </c>
      <c r="R10">
        <f t="shared" si="1"/>
        <v>30</v>
      </c>
      <c r="S10">
        <f t="shared" si="2"/>
        <v>23.874762624262019</v>
      </c>
      <c r="T10">
        <f t="shared" si="3"/>
        <v>23.883897966698044</v>
      </c>
      <c r="U10">
        <f t="shared" si="4"/>
        <v>23.776962794651013</v>
      </c>
      <c r="V10">
        <f t="shared" si="5"/>
        <v>23.875827961569996</v>
      </c>
      <c r="W10">
        <f t="shared" si="6"/>
        <v>24.007696867435016</v>
      </c>
      <c r="Y10">
        <v>2</v>
      </c>
    </row>
    <row r="11" spans="1:25" x14ac:dyDescent="0.25">
      <c r="A11">
        <v>0</v>
      </c>
      <c r="B11">
        <v>1.0542501274062199E-4</v>
      </c>
      <c r="C11">
        <v>1.0011414222827799E-4</v>
      </c>
      <c r="D11">
        <v>1.05425012740611E-4</v>
      </c>
      <c r="E11" s="1">
        <v>7.7866555066441896E-5</v>
      </c>
      <c r="F11">
        <v>0.1</v>
      </c>
      <c r="G11">
        <v>8.88920382628085E-4</v>
      </c>
      <c r="H11">
        <v>297.01123399677198</v>
      </c>
      <c r="I11">
        <v>297.01802703864001</v>
      </c>
      <c r="J11">
        <v>296.90351886653798</v>
      </c>
      <c r="K11">
        <v>297.01682156386602</v>
      </c>
      <c r="L11">
        <v>297.14577283405703</v>
      </c>
      <c r="M11">
        <v>292.43640625</v>
      </c>
      <c r="N11">
        <v>0.94290865384615297</v>
      </c>
      <c r="O11" s="1">
        <v>-5.4305735573319903E-8</v>
      </c>
      <c r="Q11">
        <v>299.14999999999998</v>
      </c>
      <c r="R11">
        <f t="shared" si="1"/>
        <v>30</v>
      </c>
      <c r="S11">
        <f t="shared" si="2"/>
        <v>23.861233996772</v>
      </c>
      <c r="T11">
        <f t="shared" si="3"/>
        <v>23.868027038640037</v>
      </c>
      <c r="U11">
        <f t="shared" si="4"/>
        <v>23.753518866538002</v>
      </c>
      <c r="V11">
        <f t="shared" si="5"/>
        <v>23.86682156386604</v>
      </c>
      <c r="W11">
        <f t="shared" si="6"/>
        <v>23.99577283405705</v>
      </c>
      <c r="Y11">
        <v>2.25</v>
      </c>
    </row>
    <row r="12" spans="1:25" x14ac:dyDescent="0.25">
      <c r="A12">
        <v>0</v>
      </c>
      <c r="B12">
        <v>1.04370623938335E-4</v>
      </c>
      <c r="C12" s="1">
        <v>9.9112869116989202E-5</v>
      </c>
      <c r="D12">
        <v>1.04370623938335E-4</v>
      </c>
      <c r="E12" s="1">
        <v>7.7087787090991601E-5</v>
      </c>
      <c r="F12">
        <v>0.1</v>
      </c>
      <c r="G12">
        <v>8.8002990508905996E-4</v>
      </c>
      <c r="H12">
        <v>296.99977535111799</v>
      </c>
      <c r="I12">
        <v>297.006924328982</v>
      </c>
      <c r="J12">
        <v>296.89054624606001</v>
      </c>
      <c r="K12">
        <v>297.00623015777001</v>
      </c>
      <c r="L12">
        <v>297.13682245498302</v>
      </c>
      <c r="M12">
        <v>292.23874999999998</v>
      </c>
      <c r="N12">
        <v>0.95564102564102504</v>
      </c>
      <c r="O12" s="1">
        <v>-5.3224897365012198E-8</v>
      </c>
      <c r="Q12">
        <v>299.14999999999998</v>
      </c>
      <c r="R12">
        <f t="shared" si="1"/>
        <v>30</v>
      </c>
      <c r="S12">
        <f t="shared" si="2"/>
        <v>23.849775351118012</v>
      </c>
      <c r="T12">
        <f t="shared" si="3"/>
        <v>23.856924328982018</v>
      </c>
      <c r="U12">
        <f t="shared" si="4"/>
        <v>23.740546246060035</v>
      </c>
      <c r="V12">
        <f t="shared" si="5"/>
        <v>23.856230157770028</v>
      </c>
      <c r="W12">
        <f t="shared" si="6"/>
        <v>23.986822454983042</v>
      </c>
      <c r="Y12">
        <v>2.5</v>
      </c>
    </row>
    <row r="13" spans="1:25" x14ac:dyDescent="0.25">
      <c r="A13">
        <v>0</v>
      </c>
      <c r="B13">
        <v>1.0320954876231699E-4</v>
      </c>
      <c r="C13" s="1">
        <v>9.8010284044531797E-5</v>
      </c>
      <c r="D13">
        <v>1.0320954876231699E-4</v>
      </c>
      <c r="E13" s="1">
        <v>7.6230220923557301E-5</v>
      </c>
      <c r="F13">
        <v>0.1</v>
      </c>
      <c r="G13">
        <v>8.7023990825773104E-4</v>
      </c>
      <c r="H13">
        <v>296.99042093781497</v>
      </c>
      <c r="I13">
        <v>296.99862976794401</v>
      </c>
      <c r="J13">
        <v>296.88139213092097</v>
      </c>
      <c r="K13">
        <v>296.99785394061001</v>
      </c>
      <c r="L13">
        <v>297.13036099259699</v>
      </c>
      <c r="M13">
        <v>292.046718749999</v>
      </c>
      <c r="N13">
        <v>0.96555288461538402</v>
      </c>
      <c r="O13" s="1">
        <v>-5.2047270985855099E-8</v>
      </c>
      <c r="Q13">
        <v>299.14999999999998</v>
      </c>
      <c r="R13">
        <f t="shared" si="1"/>
        <v>30</v>
      </c>
      <c r="S13">
        <f t="shared" si="2"/>
        <v>23.840420937814997</v>
      </c>
      <c r="T13">
        <f t="shared" si="3"/>
        <v>23.848629767944033</v>
      </c>
      <c r="U13">
        <f t="shared" si="4"/>
        <v>23.731392130920995</v>
      </c>
      <c r="V13">
        <f t="shared" si="5"/>
        <v>23.847853940610037</v>
      </c>
      <c r="W13">
        <f t="shared" si="6"/>
        <v>23.980360992597014</v>
      </c>
      <c r="Y13">
        <v>2.75</v>
      </c>
    </row>
    <row r="14" spans="1:25" x14ac:dyDescent="0.25">
      <c r="A14">
        <v>0</v>
      </c>
      <c r="B14">
        <v>1.02075321478104E-4</v>
      </c>
      <c r="C14" s="1">
        <v>9.6933194379591797E-5</v>
      </c>
      <c r="D14">
        <v>1.02075321478104E-4</v>
      </c>
      <c r="E14" s="1">
        <v>7.5392484517460305E-5</v>
      </c>
      <c r="F14">
        <v>0.1</v>
      </c>
      <c r="G14">
        <v>8.6067631799441704E-4</v>
      </c>
      <c r="H14">
        <v>296.98241905625002</v>
      </c>
      <c r="I14">
        <v>296.99188448506499</v>
      </c>
      <c r="J14">
        <v>296.874463855214</v>
      </c>
      <c r="K14">
        <v>296.99086464508798</v>
      </c>
      <c r="L14">
        <v>297.12532998441299</v>
      </c>
      <c r="M14">
        <v>291.849999999999</v>
      </c>
      <c r="N14">
        <v>0.97</v>
      </c>
      <c r="O14" s="1">
        <v>-5.0909599215305298E-8</v>
      </c>
      <c r="Q14">
        <v>299.14999999999998</v>
      </c>
      <c r="R14">
        <f t="shared" si="1"/>
        <v>30</v>
      </c>
      <c r="S14">
        <f t="shared" si="2"/>
        <v>23.832419056250046</v>
      </c>
      <c r="T14">
        <f t="shared" si="3"/>
        <v>23.841884485065009</v>
      </c>
      <c r="U14">
        <f t="shared" si="4"/>
        <v>23.724463855214026</v>
      </c>
      <c r="V14">
        <f t="shared" si="5"/>
        <v>23.840864645088004</v>
      </c>
      <c r="W14">
        <f t="shared" si="6"/>
        <v>23.975329984413008</v>
      </c>
      <c r="Y14">
        <v>3</v>
      </c>
    </row>
    <row r="15" spans="1:25" x14ac:dyDescent="0.25">
      <c r="A15">
        <v>0</v>
      </c>
      <c r="B15">
        <v>1.00959235562499E-4</v>
      </c>
      <c r="C15" s="1">
        <v>9.5873332197089195E-5</v>
      </c>
      <c r="D15">
        <v>1.00959235562486E-4</v>
      </c>
      <c r="E15" s="1">
        <v>7.4568147264402599E-5</v>
      </c>
      <c r="F15">
        <v>0.1</v>
      </c>
      <c r="G15">
        <v>8.5126571840739805E-4</v>
      </c>
      <c r="H15">
        <v>296.97520510669602</v>
      </c>
      <c r="I15">
        <v>296.98603931797999</v>
      </c>
      <c r="J15">
        <v>296.86918717942001</v>
      </c>
      <c r="K15">
        <v>296.98467533470102</v>
      </c>
      <c r="L15">
        <v>297.12120022325098</v>
      </c>
      <c r="M15">
        <v>291.63062499999899</v>
      </c>
      <c r="N15">
        <v>0.96159926470588197</v>
      </c>
      <c r="O15" s="1">
        <v>-4.9802398589522099E-8</v>
      </c>
      <c r="Q15">
        <v>299.14999999999998</v>
      </c>
      <c r="R15">
        <f t="shared" si="1"/>
        <v>30</v>
      </c>
      <c r="S15">
        <f t="shared" si="2"/>
        <v>23.825205106696046</v>
      </c>
      <c r="T15">
        <f t="shared" si="3"/>
        <v>23.83603931798001</v>
      </c>
      <c r="U15">
        <f t="shared" si="4"/>
        <v>23.719187179420032</v>
      </c>
      <c r="V15">
        <f t="shared" si="5"/>
        <v>23.834675334701046</v>
      </c>
      <c r="W15">
        <f t="shared" si="6"/>
        <v>23.971200223251003</v>
      </c>
      <c r="Y15">
        <v>3.25</v>
      </c>
    </row>
    <row r="16" spans="1:25" x14ac:dyDescent="0.25">
      <c r="A16">
        <v>0</v>
      </c>
      <c r="B16" s="1">
        <v>9.9951481612935397E-5</v>
      </c>
      <c r="C16" s="1">
        <v>9.4916344669980894E-5</v>
      </c>
      <c r="D16" s="1">
        <v>9.9951481612935397E-5</v>
      </c>
      <c r="E16" s="1">
        <v>7.38238236322074E-5</v>
      </c>
      <c r="F16">
        <v>0.1</v>
      </c>
      <c r="G16">
        <v>8.4276857195018104E-4</v>
      </c>
      <c r="H16">
        <v>296.96644386603498</v>
      </c>
      <c r="I16">
        <v>296.97876057064099</v>
      </c>
      <c r="J16">
        <v>296.86378133028398</v>
      </c>
      <c r="K16">
        <v>296.97698918194902</v>
      </c>
      <c r="L16">
        <v>297.11692902960999</v>
      </c>
      <c r="M16">
        <v>291.39249999999998</v>
      </c>
      <c r="N16">
        <v>0.94093137254901904</v>
      </c>
      <c r="O16" s="1">
        <v>-4.8813127602621603E-8</v>
      </c>
      <c r="Q16">
        <v>299.14999999999998</v>
      </c>
      <c r="R16">
        <f t="shared" si="1"/>
        <v>30</v>
      </c>
      <c r="S16">
        <f t="shared" si="2"/>
        <v>23.816443866035002</v>
      </c>
      <c r="T16">
        <f t="shared" si="3"/>
        <v>23.828760570641009</v>
      </c>
      <c r="U16">
        <f t="shared" si="4"/>
        <v>23.713781330284007</v>
      </c>
      <c r="V16">
        <f t="shared" si="5"/>
        <v>23.826989181949045</v>
      </c>
      <c r="W16">
        <f t="shared" si="6"/>
        <v>23.966929029610014</v>
      </c>
      <c r="Y16">
        <v>3.5</v>
      </c>
    </row>
    <row r="17" spans="1:25" x14ac:dyDescent="0.25">
      <c r="A17">
        <v>0</v>
      </c>
      <c r="B17" s="1">
        <v>9.9107562887210094E-5</v>
      </c>
      <c r="C17" s="1">
        <v>9.41149390344489E-5</v>
      </c>
      <c r="D17" s="1">
        <v>9.9107562887210202E-5</v>
      </c>
      <c r="E17" s="1">
        <v>7.3200508137904696E-5</v>
      </c>
      <c r="F17">
        <v>0.1</v>
      </c>
      <c r="G17">
        <v>8.3565286446577098E-4</v>
      </c>
      <c r="H17">
        <v>296.95546025402803</v>
      </c>
      <c r="I17">
        <v>296.96932872162103</v>
      </c>
      <c r="J17">
        <v>296.85810000143499</v>
      </c>
      <c r="K17">
        <v>296.96661982020601</v>
      </c>
      <c r="L17">
        <v>297.11178305484998</v>
      </c>
      <c r="M17">
        <v>291.15812499999998</v>
      </c>
      <c r="N17">
        <v>0.917297794117647</v>
      </c>
      <c r="O17" s="1">
        <v>-4.7992324336791901E-8</v>
      </c>
      <c r="Q17">
        <v>299.14999999999998</v>
      </c>
      <c r="R17">
        <f t="shared" si="1"/>
        <v>30</v>
      </c>
      <c r="S17">
        <f t="shared" si="2"/>
        <v>23.805460254028048</v>
      </c>
      <c r="T17">
        <f t="shared" si="3"/>
        <v>23.819328721621048</v>
      </c>
      <c r="U17">
        <f t="shared" si="4"/>
        <v>23.708100001435014</v>
      </c>
      <c r="V17">
        <f t="shared" si="5"/>
        <v>23.816619820206029</v>
      </c>
      <c r="W17">
        <f t="shared" si="6"/>
        <v>23.961783054850002</v>
      </c>
      <c r="Y17">
        <v>3.75</v>
      </c>
    </row>
    <row r="18" spans="1:25" x14ac:dyDescent="0.25">
      <c r="A18">
        <v>0</v>
      </c>
      <c r="B18" s="1">
        <v>9.8461779247222201E-5</v>
      </c>
      <c r="C18" s="1">
        <v>9.3501687269024594E-5</v>
      </c>
      <c r="D18" s="1">
        <v>9.8461779247195597E-5</v>
      </c>
      <c r="E18" s="1">
        <v>7.2723534542571395E-5</v>
      </c>
      <c r="F18">
        <v>0.1</v>
      </c>
      <c r="G18">
        <v>8.3020779946529997E-4</v>
      </c>
      <c r="H18">
        <v>296.94341067102903</v>
      </c>
      <c r="I18">
        <v>296.95860128826598</v>
      </c>
      <c r="J18">
        <v>296.85325749357003</v>
      </c>
      <c r="K18">
        <v>296.94220895785401</v>
      </c>
      <c r="L18">
        <v>297.10503821554801</v>
      </c>
      <c r="M18">
        <v>290.95</v>
      </c>
      <c r="N18">
        <v>0.9</v>
      </c>
      <c r="O18" s="1">
        <v>-4.7368931635333103E-8</v>
      </c>
      <c r="Q18">
        <v>299.14999999999998</v>
      </c>
      <c r="R18">
        <f t="shared" si="1"/>
        <v>30</v>
      </c>
      <c r="S18">
        <f t="shared" si="2"/>
        <v>23.793410671029051</v>
      </c>
      <c r="T18">
        <f t="shared" si="3"/>
        <v>23.808601288266004</v>
      </c>
      <c r="U18">
        <f t="shared" si="4"/>
        <v>23.70325749357005</v>
      </c>
      <c r="V18">
        <f t="shared" si="5"/>
        <v>23.792208957854029</v>
      </c>
      <c r="W18">
        <f t="shared" si="6"/>
        <v>23.955038215548029</v>
      </c>
      <c r="Y18">
        <v>4</v>
      </c>
    </row>
    <row r="19" spans="1:25" x14ac:dyDescent="0.25">
      <c r="A19">
        <v>0</v>
      </c>
      <c r="B19">
        <v>1.01479444387035E-4</v>
      </c>
      <c r="C19" s="1">
        <v>9.6367335080263199E-5</v>
      </c>
      <c r="D19">
        <v>1.0147944438708201E-4</v>
      </c>
      <c r="E19" s="1">
        <v>7.4952371729171706E-5</v>
      </c>
      <c r="F19">
        <v>0.1</v>
      </c>
      <c r="G19">
        <v>8.5565213185595295E-4</v>
      </c>
      <c r="H19">
        <v>296.92906457276501</v>
      </c>
      <c r="I19">
        <v>296.942920240403</v>
      </c>
      <c r="J19">
        <v>296.89288839973199</v>
      </c>
      <c r="K19">
        <v>296.87567171795001</v>
      </c>
      <c r="L19">
        <v>297.09724375866301</v>
      </c>
      <c r="M19">
        <v>290.83448660714203</v>
      </c>
      <c r="N19">
        <v>0.889389705882353</v>
      </c>
      <c r="O19" s="1">
        <v>-5.0316965856436203E-8</v>
      </c>
      <c r="Q19">
        <v>299.14999999999998</v>
      </c>
      <c r="R19">
        <f t="shared" si="1"/>
        <v>30</v>
      </c>
      <c r="S19">
        <f t="shared" si="2"/>
        <v>23.779064572765037</v>
      </c>
      <c r="T19">
        <f t="shared" si="3"/>
        <v>23.792920240403021</v>
      </c>
      <c r="U19">
        <f t="shared" si="4"/>
        <v>23.74288839973201</v>
      </c>
      <c r="V19">
        <f t="shared" si="5"/>
        <v>23.725671717950036</v>
      </c>
      <c r="W19">
        <f t="shared" si="6"/>
        <v>23.947243758663035</v>
      </c>
      <c r="Y19">
        <v>4.25</v>
      </c>
    </row>
    <row r="20" spans="1:25" x14ac:dyDescent="0.25">
      <c r="A20">
        <v>0</v>
      </c>
      <c r="B20">
        <v>1.00451709097495E-4</v>
      </c>
      <c r="C20" s="1">
        <v>9.5391372789224303E-5</v>
      </c>
      <c r="D20">
        <v>1.00451709097386E-4</v>
      </c>
      <c r="E20" s="1">
        <v>7.4193289947179994E-5</v>
      </c>
      <c r="F20">
        <v>0.1</v>
      </c>
      <c r="G20">
        <v>8.46986502885502E-4</v>
      </c>
      <c r="H20">
        <v>296.83972307833602</v>
      </c>
      <c r="I20">
        <v>296.93253077141901</v>
      </c>
      <c r="J20">
        <v>296.90938237044702</v>
      </c>
      <c r="K20">
        <v>296.91775128735202</v>
      </c>
      <c r="L20">
        <v>297.09120280538201</v>
      </c>
      <c r="M20">
        <v>290.82946428571398</v>
      </c>
      <c r="N20">
        <v>0.880235294117647</v>
      </c>
      <c r="O20" s="1">
        <v>-4.9302955138200199E-8</v>
      </c>
      <c r="Q20">
        <v>299.14999999999998</v>
      </c>
      <c r="R20">
        <f t="shared" si="1"/>
        <v>30</v>
      </c>
      <c r="S20">
        <f t="shared" si="2"/>
        <v>23.689723078336044</v>
      </c>
      <c r="T20">
        <f t="shared" si="3"/>
        <v>23.782530771419033</v>
      </c>
      <c r="U20">
        <f t="shared" si="4"/>
        <v>23.759382370447042</v>
      </c>
      <c r="V20">
        <f t="shared" si="5"/>
        <v>23.767751287352041</v>
      </c>
      <c r="W20">
        <f t="shared" si="6"/>
        <v>23.941202805382034</v>
      </c>
      <c r="Y20">
        <v>4.5</v>
      </c>
    </row>
    <row r="21" spans="1:25" x14ac:dyDescent="0.25">
      <c r="A21">
        <v>0</v>
      </c>
      <c r="B21" s="1">
        <v>9.9229422963983006E-5</v>
      </c>
      <c r="C21" s="1">
        <v>9.4230660311044501E-5</v>
      </c>
      <c r="D21" s="1">
        <v>9.9229422963982301E-5</v>
      </c>
      <c r="E21" s="1">
        <v>7.3290513575254601E-5</v>
      </c>
      <c r="F21">
        <v>0.1</v>
      </c>
      <c r="G21">
        <v>8.3668046274754495E-4</v>
      </c>
      <c r="H21">
        <v>296.89626703477501</v>
      </c>
      <c r="I21">
        <v>296.85457846313301</v>
      </c>
      <c r="J21">
        <v>296.897202580819</v>
      </c>
      <c r="K21">
        <v>296.92257036477298</v>
      </c>
      <c r="L21">
        <v>297.08550476351201</v>
      </c>
      <c r="M21">
        <v>290.88470982142798</v>
      </c>
      <c r="N21">
        <v>0.87346323529411696</v>
      </c>
      <c r="O21" s="1">
        <v>-4.81104287661758E-8</v>
      </c>
      <c r="Q21">
        <v>299.14999999999998</v>
      </c>
      <c r="R21">
        <f t="shared" si="1"/>
        <v>30</v>
      </c>
      <c r="S21">
        <f t="shared" si="2"/>
        <v>23.74626703477503</v>
      </c>
      <c r="T21">
        <f t="shared" si="3"/>
        <v>23.704578463133032</v>
      </c>
      <c r="U21">
        <f t="shared" si="4"/>
        <v>23.747202580819021</v>
      </c>
      <c r="V21">
        <f t="shared" si="5"/>
        <v>23.772570364773003</v>
      </c>
      <c r="W21">
        <f t="shared" si="6"/>
        <v>23.935504763512029</v>
      </c>
      <c r="Y21">
        <v>4.75</v>
      </c>
    </row>
    <row r="22" spans="1:25" x14ac:dyDescent="0.25">
      <c r="A22">
        <v>0</v>
      </c>
      <c r="B22">
        <v>1.0070519765236499E-4</v>
      </c>
      <c r="C22" s="1">
        <v>9.5632091652703597E-5</v>
      </c>
      <c r="D22">
        <v>1.0070519765237899E-4</v>
      </c>
      <c r="E22" s="1">
        <v>7.4380515729874702E-5</v>
      </c>
      <c r="F22">
        <v>0.1</v>
      </c>
      <c r="G22">
        <v>8.4912389843645004E-4</v>
      </c>
      <c r="H22">
        <v>296.90222992140798</v>
      </c>
      <c r="I22">
        <v>296.91589623923898</v>
      </c>
      <c r="J22">
        <v>296.81463086026997</v>
      </c>
      <c r="K22">
        <v>296.92025252011098</v>
      </c>
      <c r="L22">
        <v>297.08244922166102</v>
      </c>
      <c r="M22">
        <v>290.95</v>
      </c>
      <c r="N22">
        <v>0.87</v>
      </c>
      <c r="O22" s="1">
        <v>-4.9552104047359497E-8</v>
      </c>
      <c r="Q22">
        <v>299.14999999999998</v>
      </c>
      <c r="R22">
        <f t="shared" si="1"/>
        <v>30</v>
      </c>
      <c r="S22">
        <f t="shared" si="2"/>
        <v>23.752229921408002</v>
      </c>
      <c r="T22">
        <f t="shared" si="3"/>
        <v>23.765896239238998</v>
      </c>
      <c r="U22">
        <f t="shared" si="4"/>
        <v>23.664630860269995</v>
      </c>
      <c r="V22">
        <f t="shared" si="5"/>
        <v>23.770252520111001</v>
      </c>
      <c r="W22">
        <f t="shared" si="6"/>
        <v>23.932449221661045</v>
      </c>
      <c r="Y22">
        <v>5</v>
      </c>
    </row>
    <row r="23" spans="1:25" x14ac:dyDescent="0.25">
      <c r="A23">
        <v>0</v>
      </c>
      <c r="B23" s="1">
        <v>9.8361033204260903E-5</v>
      </c>
      <c r="C23" s="1">
        <v>9.3406016389587299E-5</v>
      </c>
      <c r="D23" s="1">
        <v>9.8361033204158894E-5</v>
      </c>
      <c r="E23" s="1">
        <v>7.2649123858427504E-5</v>
      </c>
      <c r="F23">
        <v>0.1</v>
      </c>
      <c r="G23">
        <v>8.2935843511938799E-4</v>
      </c>
      <c r="H23">
        <v>296.90300283073799</v>
      </c>
      <c r="I23">
        <v>296.892685930997</v>
      </c>
      <c r="J23">
        <v>296.83849072971901</v>
      </c>
      <c r="K23">
        <v>296.92154383769099</v>
      </c>
      <c r="L23">
        <v>297.08087035450001</v>
      </c>
      <c r="M23">
        <v>291.00669642857099</v>
      </c>
      <c r="N23">
        <v>0.87343014705882305</v>
      </c>
      <c r="O23" s="1">
        <v>-4.7272057332927501E-8</v>
      </c>
      <c r="Q23">
        <v>299.14999999999998</v>
      </c>
      <c r="R23">
        <f t="shared" si="1"/>
        <v>30</v>
      </c>
      <c r="S23">
        <f t="shared" si="2"/>
        <v>23.753002830738012</v>
      </c>
      <c r="T23">
        <f t="shared" si="3"/>
        <v>23.742685930997027</v>
      </c>
      <c r="U23">
        <f t="shared" si="4"/>
        <v>23.688490729719035</v>
      </c>
      <c r="V23">
        <f t="shared" si="5"/>
        <v>23.771543837691013</v>
      </c>
      <c r="W23">
        <f t="shared" si="6"/>
        <v>23.93087035450003</v>
      </c>
      <c r="Y23">
        <v>5.25</v>
      </c>
    </row>
    <row r="24" spans="1:25" x14ac:dyDescent="0.25">
      <c r="A24">
        <v>0</v>
      </c>
      <c r="B24" s="1">
        <v>9.8815529221813096E-5</v>
      </c>
      <c r="C24" s="1">
        <v>9.3837616801777394E-5</v>
      </c>
      <c r="D24" s="1">
        <v>9.8815529221858497E-5</v>
      </c>
      <c r="E24" s="1">
        <v>7.2984813068045296E-5</v>
      </c>
      <c r="F24">
        <v>0.1</v>
      </c>
      <c r="G24">
        <v>8.3319067125772501E-4</v>
      </c>
      <c r="H24">
        <v>296.86344500127598</v>
      </c>
      <c r="I24">
        <v>296.91080345621498</v>
      </c>
      <c r="J24">
        <v>296.90251921363603</v>
      </c>
      <c r="K24">
        <v>296.92530307150702</v>
      </c>
      <c r="L24">
        <v>297.08533883206098</v>
      </c>
      <c r="M24">
        <v>291.08928571428498</v>
      </c>
      <c r="N24">
        <v>0.88314705882352895</v>
      </c>
      <c r="O24" s="1">
        <v>-4.7709928869670298E-8</v>
      </c>
      <c r="Q24">
        <v>299.14999999999998</v>
      </c>
      <c r="R24">
        <f t="shared" si="1"/>
        <v>30</v>
      </c>
      <c r="S24">
        <f t="shared" si="2"/>
        <v>23.713445001276</v>
      </c>
      <c r="T24">
        <f t="shared" si="3"/>
        <v>23.760803456215001</v>
      </c>
      <c r="U24">
        <f t="shared" si="4"/>
        <v>23.752519213636049</v>
      </c>
      <c r="V24">
        <f t="shared" si="5"/>
        <v>23.775303071507039</v>
      </c>
      <c r="W24">
        <f t="shared" si="6"/>
        <v>23.935338832061007</v>
      </c>
      <c r="Y24">
        <v>5.5</v>
      </c>
    </row>
    <row r="25" spans="1:25" x14ac:dyDescent="0.25">
      <c r="A25">
        <v>0</v>
      </c>
      <c r="B25" s="1">
        <v>9.8441336326793294E-5</v>
      </c>
      <c r="C25" s="1">
        <v>9.3482274177310003E-5</v>
      </c>
      <c r="D25" s="1">
        <v>9.8441336326807795E-5</v>
      </c>
      <c r="E25" s="1">
        <v>7.2708435471241202E-5</v>
      </c>
      <c r="F25">
        <v>0.1</v>
      </c>
      <c r="G25">
        <v>8.3003559308443401E-4</v>
      </c>
      <c r="H25">
        <v>296.901443690966</v>
      </c>
      <c r="I25">
        <v>296.96147315394001</v>
      </c>
      <c r="J25">
        <v>296.92066043015399</v>
      </c>
      <c r="K25">
        <v>296.89000097862203</v>
      </c>
      <c r="L25">
        <v>297.09363503192401</v>
      </c>
      <c r="M25">
        <v>291.22723214285702</v>
      </c>
      <c r="N25">
        <v>0.89379044117647</v>
      </c>
      <c r="O25" s="1">
        <v>-4.7349282611852297E-8</v>
      </c>
      <c r="Q25">
        <v>299.14999999999998</v>
      </c>
      <c r="R25">
        <f t="shared" si="1"/>
        <v>30</v>
      </c>
      <c r="S25">
        <f t="shared" si="2"/>
        <v>23.751443690966028</v>
      </c>
      <c r="T25">
        <f t="shared" si="3"/>
        <v>23.811473153940028</v>
      </c>
      <c r="U25">
        <f t="shared" si="4"/>
        <v>23.77066043015401</v>
      </c>
      <c r="V25">
        <f t="shared" si="5"/>
        <v>23.740000978622049</v>
      </c>
      <c r="W25">
        <f t="shared" si="6"/>
        <v>23.943635031924032</v>
      </c>
      <c r="Y25">
        <v>5.75</v>
      </c>
    </row>
    <row r="26" spans="1:25" x14ac:dyDescent="0.25">
      <c r="A26">
        <v>0</v>
      </c>
      <c r="B26" s="1">
        <v>9.8642527668074405E-5</v>
      </c>
      <c r="C26" s="1">
        <v>9.3673330341600194E-5</v>
      </c>
      <c r="D26" s="1">
        <v>9.8642527668073198E-5</v>
      </c>
      <c r="E26" s="1">
        <v>7.2857034710134097E-5</v>
      </c>
      <c r="F26">
        <v>0.1</v>
      </c>
      <c r="G26">
        <v>8.3173203850972499E-4</v>
      </c>
      <c r="H26">
        <v>296.93639202886902</v>
      </c>
      <c r="I26">
        <v>297.02786950929402</v>
      </c>
      <c r="J26">
        <v>296.897002148929</v>
      </c>
      <c r="K26">
        <v>296.94865879062201</v>
      </c>
      <c r="L26">
        <v>297.10931245279198</v>
      </c>
      <c r="M26">
        <v>291.45</v>
      </c>
      <c r="N26">
        <v>0.9</v>
      </c>
      <c r="O26" s="1">
        <v>-4.7543027458587102E-8</v>
      </c>
      <c r="Q26">
        <v>299.14999999999998</v>
      </c>
      <c r="R26">
        <f t="shared" si="1"/>
        <v>30</v>
      </c>
      <c r="S26">
        <f t="shared" si="2"/>
        <v>23.786392028869045</v>
      </c>
      <c r="T26">
        <f t="shared" si="3"/>
        <v>23.877869509294044</v>
      </c>
      <c r="U26">
        <f t="shared" si="4"/>
        <v>23.747002148929027</v>
      </c>
      <c r="V26">
        <f t="shared" si="5"/>
        <v>23.798658790622028</v>
      </c>
      <c r="W26">
        <f t="shared" si="6"/>
        <v>23.959312452792005</v>
      </c>
      <c r="Y26">
        <v>6</v>
      </c>
    </row>
    <row r="27" spans="1:25" x14ac:dyDescent="0.25">
      <c r="A27">
        <v>0</v>
      </c>
      <c r="B27">
        <v>1.00556746787431E-4</v>
      </c>
      <c r="C27" s="1">
        <v>9.5491119120465605E-5</v>
      </c>
      <c r="D27">
        <v>1.00556746787431E-4</v>
      </c>
      <c r="E27" s="1">
        <v>7.4270870427029098E-5</v>
      </c>
      <c r="F27">
        <v>0.1</v>
      </c>
      <c r="G27">
        <v>8.4787232134129304E-4</v>
      </c>
      <c r="H27">
        <v>296.95901026501502</v>
      </c>
      <c r="I27">
        <v>297.14116697538299</v>
      </c>
      <c r="J27">
        <v>296.90570019300702</v>
      </c>
      <c r="K27">
        <v>296.97439068560197</v>
      </c>
      <c r="L27">
        <v>297.12583211067101</v>
      </c>
      <c r="M27">
        <v>291.774080882352</v>
      </c>
      <c r="N27">
        <v>0.90077205882352895</v>
      </c>
      <c r="O27" s="1">
        <v>-4.9406135779979701E-8</v>
      </c>
      <c r="Q27">
        <v>299.14999999999998</v>
      </c>
      <c r="R27">
        <f t="shared" si="1"/>
        <v>30</v>
      </c>
      <c r="S27">
        <f t="shared" si="2"/>
        <v>23.809010265015047</v>
      </c>
      <c r="T27">
        <f t="shared" si="3"/>
        <v>23.99116697538301</v>
      </c>
      <c r="U27">
        <f t="shared" si="4"/>
        <v>23.755700193007044</v>
      </c>
      <c r="V27">
        <f t="shared" si="5"/>
        <v>23.824390685601998</v>
      </c>
      <c r="W27">
        <f t="shared" si="6"/>
        <v>23.975832110671035</v>
      </c>
      <c r="Y27">
        <v>6.25</v>
      </c>
    </row>
    <row r="28" spans="1:25" x14ac:dyDescent="0.25">
      <c r="A28">
        <v>0</v>
      </c>
      <c r="B28">
        <v>1.02005123961889E-4</v>
      </c>
      <c r="C28" s="1">
        <v>9.6866533120183E-5</v>
      </c>
      <c r="D28">
        <v>1.02005123961889E-4</v>
      </c>
      <c r="E28" s="1">
        <v>7.5340636871255298E-5</v>
      </c>
      <c r="F28">
        <v>0.1</v>
      </c>
      <c r="G28">
        <v>8.6008469526873603E-4</v>
      </c>
      <c r="H28">
        <v>296.98191400732497</v>
      </c>
      <c r="I28">
        <v>297.27167134540201</v>
      </c>
      <c r="J28">
        <v>296.93593991162601</v>
      </c>
      <c r="K28">
        <v>297.011864933379</v>
      </c>
      <c r="L28">
        <v>297.14408133941799</v>
      </c>
      <c r="M28">
        <v>292.18088235294101</v>
      </c>
      <c r="N28">
        <v>0.89735294117647002</v>
      </c>
      <c r="O28" s="1">
        <v>-5.0839633484089999E-8</v>
      </c>
      <c r="Q28">
        <v>299.14999999999998</v>
      </c>
      <c r="R28">
        <f t="shared" si="1"/>
        <v>30</v>
      </c>
      <c r="S28">
        <f t="shared" si="2"/>
        <v>23.831914007324997</v>
      </c>
      <c r="T28">
        <f t="shared" si="3"/>
        <v>24.121671345402035</v>
      </c>
      <c r="U28">
        <f t="shared" si="4"/>
        <v>23.785939911626031</v>
      </c>
      <c r="V28">
        <f t="shared" si="5"/>
        <v>23.861864933379024</v>
      </c>
      <c r="W28">
        <f t="shared" si="6"/>
        <v>23.994081339418017</v>
      </c>
      <c r="Y28">
        <v>6.5</v>
      </c>
    </row>
    <row r="29" spans="1:25" x14ac:dyDescent="0.25">
      <c r="A29">
        <v>0</v>
      </c>
      <c r="B29">
        <v>1.03607423919339E-4</v>
      </c>
      <c r="C29" s="1">
        <v>9.8388115917875498E-5</v>
      </c>
      <c r="D29">
        <v>1.0360742391934001E-4</v>
      </c>
      <c r="E29" s="1">
        <v>7.6524090158347599E-5</v>
      </c>
      <c r="F29">
        <v>0.1</v>
      </c>
      <c r="G29">
        <v>8.7359488290140595E-4</v>
      </c>
      <c r="H29">
        <v>297.01051691949903</v>
      </c>
      <c r="I29">
        <v>297.36571789728998</v>
      </c>
      <c r="J29">
        <v>296.977122507481</v>
      </c>
      <c r="K29">
        <v>297.064924049289</v>
      </c>
      <c r="L29">
        <v>297.17192383248403</v>
      </c>
      <c r="M29">
        <v>292.64724264705802</v>
      </c>
      <c r="N29">
        <v>0.88775735294117597</v>
      </c>
      <c r="O29" s="1">
        <v>-5.2449352912026098E-8</v>
      </c>
      <c r="Q29">
        <v>299.14999999999998</v>
      </c>
      <c r="R29">
        <f t="shared" si="1"/>
        <v>30</v>
      </c>
      <c r="S29">
        <f t="shared" si="2"/>
        <v>23.860516919499048</v>
      </c>
      <c r="T29">
        <f t="shared" si="3"/>
        <v>24.215717897290006</v>
      </c>
      <c r="U29">
        <f t="shared" si="4"/>
        <v>23.827122507481022</v>
      </c>
      <c r="V29">
        <f t="shared" si="5"/>
        <v>23.914924049289027</v>
      </c>
      <c r="W29">
        <f t="shared" si="6"/>
        <v>24.021923832484049</v>
      </c>
      <c r="Y29">
        <v>6.75</v>
      </c>
    </row>
    <row r="30" spans="1:25" x14ac:dyDescent="0.25">
      <c r="A30">
        <v>0</v>
      </c>
      <c r="B30">
        <v>1.00835999322185E-4</v>
      </c>
      <c r="C30" s="1">
        <v>9.5756304082326006E-5</v>
      </c>
      <c r="D30">
        <v>1.0083599932219201E-4</v>
      </c>
      <c r="E30" s="1">
        <v>7.4477125397363905E-5</v>
      </c>
      <c r="F30">
        <v>0.1</v>
      </c>
      <c r="G30">
        <v>8.5022676766549599E-4</v>
      </c>
      <c r="H30">
        <v>297.053611225493</v>
      </c>
      <c r="I30">
        <v>297.446896290182</v>
      </c>
      <c r="J30">
        <v>297.03256908098098</v>
      </c>
      <c r="K30">
        <v>297.12524856756801</v>
      </c>
      <c r="L30">
        <v>297.20551175786801</v>
      </c>
      <c r="M30">
        <v>293.14999999999998</v>
      </c>
      <c r="N30">
        <v>0.87</v>
      </c>
      <c r="O30" s="1">
        <v>-4.9680907349541301E-8</v>
      </c>
      <c r="Q30">
        <v>299.14999999999998</v>
      </c>
      <c r="R30">
        <f t="shared" si="1"/>
        <v>26</v>
      </c>
      <c r="S30">
        <f t="shared" si="2"/>
        <v>23.903611225493023</v>
      </c>
      <c r="T30">
        <f t="shared" si="3"/>
        <v>24.296896290182019</v>
      </c>
      <c r="U30">
        <f t="shared" si="4"/>
        <v>23.882569080981</v>
      </c>
      <c r="V30">
        <f t="shared" si="5"/>
        <v>23.97524856756803</v>
      </c>
      <c r="W30">
        <f t="shared" si="6"/>
        <v>24.055511757868032</v>
      </c>
      <c r="Y30">
        <v>7</v>
      </c>
    </row>
    <row r="31" spans="1:25" x14ac:dyDescent="0.25">
      <c r="A31">
        <v>0</v>
      </c>
      <c r="B31">
        <v>9.5301484614284199E-2</v>
      </c>
      <c r="C31">
        <v>9.5145282308687004E-2</v>
      </c>
      <c r="D31">
        <v>9.5188930696516599E-2</v>
      </c>
      <c r="E31">
        <v>8.3748238397214098E-2</v>
      </c>
      <c r="F31">
        <v>0.1</v>
      </c>
      <c r="G31">
        <v>1.1346197126148401</v>
      </c>
      <c r="H31">
        <v>296.776296044665</v>
      </c>
      <c r="I31">
        <v>297.06741628215798</v>
      </c>
      <c r="J31">
        <v>296.79401116048598</v>
      </c>
      <c r="K31">
        <v>296.72275894286702</v>
      </c>
      <c r="L31">
        <v>296.76121858865201</v>
      </c>
      <c r="M31">
        <v>293.70275735294098</v>
      </c>
      <c r="N31">
        <v>0.84041992187500003</v>
      </c>
      <c r="O31">
        <v>2709.7170251412699</v>
      </c>
      <c r="Q31">
        <v>299.14999999999998</v>
      </c>
      <c r="R31">
        <f t="shared" si="1"/>
        <v>26</v>
      </c>
      <c r="S31">
        <f t="shared" si="2"/>
        <v>23.626296044665025</v>
      </c>
      <c r="T31">
        <f t="shared" si="3"/>
        <v>23.917416282158001</v>
      </c>
      <c r="U31">
        <f t="shared" si="4"/>
        <v>23.644011160486002</v>
      </c>
      <c r="V31">
        <f t="shared" si="5"/>
        <v>23.57275894286704</v>
      </c>
      <c r="W31">
        <f t="shared" si="6"/>
        <v>23.611218588652036</v>
      </c>
      <c r="Y31">
        <v>7.25</v>
      </c>
    </row>
    <row r="32" spans="1:25" x14ac:dyDescent="0.25">
      <c r="A32">
        <v>0</v>
      </c>
      <c r="B32">
        <v>8.8264062716491704E-2</v>
      </c>
      <c r="C32">
        <v>8.8198576660494299E-2</v>
      </c>
      <c r="D32">
        <v>8.8240735639855294E-2</v>
      </c>
      <c r="E32">
        <v>7.6907940560082599E-2</v>
      </c>
      <c r="F32">
        <v>0.1</v>
      </c>
      <c r="G32">
        <v>2.5169826467654901</v>
      </c>
      <c r="H32">
        <v>296.55874433899902</v>
      </c>
      <c r="I32">
        <v>296.74339561351201</v>
      </c>
      <c r="J32">
        <v>296.56923088779899</v>
      </c>
      <c r="K32">
        <v>296.45422202583597</v>
      </c>
      <c r="L32">
        <v>296.07894411572403</v>
      </c>
      <c r="M32">
        <v>294.29411764705799</v>
      </c>
      <c r="N32">
        <v>0.80195312500000004</v>
      </c>
      <c r="O32">
        <v>7708.5252824294002</v>
      </c>
      <c r="Q32">
        <v>299.14999999999998</v>
      </c>
      <c r="R32">
        <f t="shared" si="1"/>
        <v>26</v>
      </c>
      <c r="S32">
        <f t="shared" si="2"/>
        <v>23.408744338999043</v>
      </c>
      <c r="T32">
        <f t="shared" si="3"/>
        <v>23.59339561351203</v>
      </c>
      <c r="U32">
        <f t="shared" si="4"/>
        <v>23.419230887799017</v>
      </c>
      <c r="V32">
        <f t="shared" si="5"/>
        <v>23.304222025835998</v>
      </c>
      <c r="W32">
        <f t="shared" si="6"/>
        <v>22.92894411572405</v>
      </c>
      <c r="Y32">
        <v>7.5</v>
      </c>
    </row>
    <row r="33" spans="1:25" x14ac:dyDescent="0.25">
      <c r="A33">
        <v>0</v>
      </c>
      <c r="B33">
        <v>9.1090531507387107E-2</v>
      </c>
      <c r="C33">
        <v>9.0725897337358002E-2</v>
      </c>
      <c r="D33">
        <v>9.1086432823589497E-2</v>
      </c>
      <c r="E33">
        <v>7.8775018705749905E-2</v>
      </c>
      <c r="F33">
        <v>0.1</v>
      </c>
      <c r="G33">
        <v>3.7709406869045199</v>
      </c>
      <c r="H33">
        <v>296.26609049823202</v>
      </c>
      <c r="I33">
        <v>296.41635033081599</v>
      </c>
      <c r="J33">
        <v>296.27447523971699</v>
      </c>
      <c r="K33">
        <v>296.12075732884801</v>
      </c>
      <c r="L33">
        <v>295.52847215283998</v>
      </c>
      <c r="M33">
        <v>294.86341911764703</v>
      </c>
      <c r="N33">
        <v>0.76250976562499995</v>
      </c>
      <c r="O33">
        <v>15398.424960357201</v>
      </c>
      <c r="Q33">
        <v>299.14999999999998</v>
      </c>
      <c r="R33">
        <f t="shared" si="1"/>
        <v>26</v>
      </c>
      <c r="S33">
        <f t="shared" si="2"/>
        <v>23.11609049823204</v>
      </c>
      <c r="T33">
        <f t="shared" si="3"/>
        <v>23.26635033081601</v>
      </c>
      <c r="U33">
        <f t="shared" si="4"/>
        <v>23.124475239717015</v>
      </c>
      <c r="V33">
        <f t="shared" si="5"/>
        <v>22.970757328848038</v>
      </c>
      <c r="W33">
        <f t="shared" si="6"/>
        <v>22.378472152840004</v>
      </c>
      <c r="Y33">
        <v>7.75</v>
      </c>
    </row>
    <row r="34" spans="1:25" x14ac:dyDescent="0.25">
      <c r="A34">
        <v>0</v>
      </c>
      <c r="B34">
        <v>9.6986870549887902E-2</v>
      </c>
      <c r="C34">
        <v>9.6150678926777505E-2</v>
      </c>
      <c r="D34">
        <v>9.6855517197577901E-2</v>
      </c>
      <c r="E34">
        <v>8.3405558252103107E-2</v>
      </c>
      <c r="F34">
        <v>0.1</v>
      </c>
      <c r="G34">
        <v>4.1638921662724702</v>
      </c>
      <c r="H34">
        <v>296.11465842748697</v>
      </c>
      <c r="I34">
        <v>296.27049097967102</v>
      </c>
      <c r="J34">
        <v>296.11961615358001</v>
      </c>
      <c r="K34">
        <v>295.95208470689499</v>
      </c>
      <c r="L34">
        <v>295.301662929945</v>
      </c>
      <c r="M34">
        <v>295.349999999999</v>
      </c>
      <c r="N34">
        <v>0.73</v>
      </c>
      <c r="O34">
        <v>17708.951188089501</v>
      </c>
      <c r="Q34">
        <v>299.14999999999998</v>
      </c>
      <c r="R34">
        <f t="shared" si="1"/>
        <v>26</v>
      </c>
      <c r="S34">
        <f t="shared" si="2"/>
        <v>22.964658427486995</v>
      </c>
      <c r="T34">
        <f t="shared" si="3"/>
        <v>23.120490979671047</v>
      </c>
      <c r="U34">
        <f t="shared" si="4"/>
        <v>22.969616153580034</v>
      </c>
      <c r="V34">
        <f t="shared" si="5"/>
        <v>22.802084706895016</v>
      </c>
      <c r="W34">
        <f t="shared" si="6"/>
        <v>22.151662929945019</v>
      </c>
      <c r="Y34">
        <v>8</v>
      </c>
    </row>
    <row r="35" spans="1:25" x14ac:dyDescent="0.25">
      <c r="A35">
        <v>0</v>
      </c>
      <c r="B35">
        <v>0.115772838835925</v>
      </c>
      <c r="C35">
        <v>0.113178668002219</v>
      </c>
      <c r="D35">
        <v>0.115328963835583</v>
      </c>
      <c r="E35">
        <v>9.8501397846171401E-2</v>
      </c>
      <c r="F35">
        <v>0.1</v>
      </c>
      <c r="G35">
        <v>4.3608851461206504</v>
      </c>
      <c r="H35">
        <v>296.13994502736398</v>
      </c>
      <c r="I35">
        <v>296.29503088552201</v>
      </c>
      <c r="J35">
        <v>296.14030123493302</v>
      </c>
      <c r="K35">
        <v>295.96251437407</v>
      </c>
      <c r="L35">
        <v>295.2977518349</v>
      </c>
      <c r="M35">
        <v>295.77499999999998</v>
      </c>
      <c r="N35">
        <v>0.70362862723214203</v>
      </c>
      <c r="O35">
        <v>19227.395687941498</v>
      </c>
      <c r="Q35">
        <v>299.14999999999998</v>
      </c>
      <c r="R35">
        <f t="shared" si="1"/>
        <v>26</v>
      </c>
      <c r="S35">
        <f t="shared" si="2"/>
        <v>22.989945027364001</v>
      </c>
      <c r="T35">
        <f t="shared" si="3"/>
        <v>23.145030885522033</v>
      </c>
      <c r="U35">
        <f t="shared" si="4"/>
        <v>22.990301234933042</v>
      </c>
      <c r="V35">
        <f t="shared" si="5"/>
        <v>22.81251437407002</v>
      </c>
      <c r="W35">
        <f t="shared" si="6"/>
        <v>22.147751834900021</v>
      </c>
      <c r="Y35">
        <v>8.25</v>
      </c>
    </row>
    <row r="36" spans="1:25" x14ac:dyDescent="0.25">
      <c r="A36">
        <v>0</v>
      </c>
      <c r="B36">
        <v>0.116458851251889</v>
      </c>
      <c r="C36">
        <v>0.11361354566321701</v>
      </c>
      <c r="D36">
        <v>0.11609543372944101</v>
      </c>
      <c r="E36">
        <v>9.8316603471464301E-2</v>
      </c>
      <c r="F36">
        <v>0.1</v>
      </c>
      <c r="G36">
        <v>4.4986099776055504</v>
      </c>
      <c r="H36">
        <v>296.24121959576701</v>
      </c>
      <c r="I36">
        <v>296.392380066812</v>
      </c>
      <c r="J36">
        <v>296.23441961466898</v>
      </c>
      <c r="K36">
        <v>296.04563743287298</v>
      </c>
      <c r="L36">
        <v>295.34449920567499</v>
      </c>
      <c r="M36">
        <v>296.2</v>
      </c>
      <c r="N36">
        <v>0.67858258928571402</v>
      </c>
      <c r="O36">
        <v>20563.794784800099</v>
      </c>
      <c r="Q36">
        <v>299.14999999999998</v>
      </c>
      <c r="R36">
        <f t="shared" si="1"/>
        <v>26</v>
      </c>
      <c r="S36">
        <f t="shared" si="2"/>
        <v>23.091219595767029</v>
      </c>
      <c r="T36">
        <f t="shared" si="3"/>
        <v>23.242380066812018</v>
      </c>
      <c r="U36">
        <f t="shared" si="4"/>
        <v>23.084419614669002</v>
      </c>
      <c r="V36">
        <f t="shared" si="5"/>
        <v>22.895637432873002</v>
      </c>
      <c r="W36">
        <f t="shared" si="6"/>
        <v>22.194499205675015</v>
      </c>
      <c r="Y36">
        <v>8.5</v>
      </c>
    </row>
    <row r="37" spans="1:25" x14ac:dyDescent="0.25">
      <c r="A37">
        <v>0</v>
      </c>
      <c r="B37">
        <v>0.120082002200754</v>
      </c>
      <c r="C37">
        <v>0.116908076723808</v>
      </c>
      <c r="D37">
        <v>0.11960933121397101</v>
      </c>
      <c r="E37">
        <v>0.101437013705631</v>
      </c>
      <c r="F37">
        <v>0.1</v>
      </c>
      <c r="G37">
        <v>4.5281251327491798</v>
      </c>
      <c r="H37">
        <v>296.36514688975097</v>
      </c>
      <c r="I37">
        <v>296.52075278967101</v>
      </c>
      <c r="J37">
        <v>296.34720409953297</v>
      </c>
      <c r="K37">
        <v>296.14734843840898</v>
      </c>
      <c r="L37">
        <v>295.42526297751101</v>
      </c>
      <c r="M37">
        <v>296.625</v>
      </c>
      <c r="N37">
        <v>0.65674525669642803</v>
      </c>
      <c r="O37">
        <v>21261.4755542251</v>
      </c>
      <c r="Q37">
        <v>299.14999999999998</v>
      </c>
      <c r="R37">
        <f t="shared" si="1"/>
        <v>26</v>
      </c>
      <c r="S37">
        <f t="shared" si="2"/>
        <v>23.215146889750997</v>
      </c>
      <c r="T37">
        <f t="shared" si="3"/>
        <v>23.37075278967103</v>
      </c>
      <c r="U37">
        <f t="shared" si="4"/>
        <v>23.197204099532996</v>
      </c>
      <c r="V37">
        <f t="shared" si="5"/>
        <v>22.997348438409006</v>
      </c>
      <c r="W37">
        <f t="shared" si="6"/>
        <v>22.275262977511034</v>
      </c>
      <c r="Y37">
        <v>8.75</v>
      </c>
    </row>
    <row r="38" spans="1:25" x14ac:dyDescent="0.25">
      <c r="A38">
        <v>0</v>
      </c>
      <c r="B38">
        <v>0.12486262034779699</v>
      </c>
      <c r="C38">
        <v>0.121701995227014</v>
      </c>
      <c r="D38">
        <v>0.124408406502408</v>
      </c>
      <c r="E38">
        <v>0.106246997951051</v>
      </c>
      <c r="F38">
        <v>0.1</v>
      </c>
      <c r="G38">
        <v>4.5850431470011097</v>
      </c>
      <c r="H38">
        <v>296.53093974467498</v>
      </c>
      <c r="I38">
        <v>296.70143906257601</v>
      </c>
      <c r="J38">
        <v>296.493998193805</v>
      </c>
      <c r="K38">
        <v>296.28171747677402</v>
      </c>
      <c r="L38">
        <v>295.53731316542502</v>
      </c>
      <c r="M38">
        <v>297.04999999999899</v>
      </c>
      <c r="N38">
        <v>0.64</v>
      </c>
      <c r="O38">
        <v>22140.603932263701</v>
      </c>
      <c r="Q38">
        <v>299.14999999999998</v>
      </c>
      <c r="R38">
        <f t="shared" si="1"/>
        <v>26</v>
      </c>
      <c r="S38">
        <f t="shared" si="2"/>
        <v>23.380939744675004</v>
      </c>
      <c r="T38">
        <f t="shared" si="3"/>
        <v>23.551439062576037</v>
      </c>
      <c r="U38">
        <f t="shared" si="4"/>
        <v>23.343998193805021</v>
      </c>
      <c r="V38">
        <f t="shared" si="5"/>
        <v>23.131717476774043</v>
      </c>
      <c r="W38">
        <f t="shared" si="6"/>
        <v>22.387313165425041</v>
      </c>
      <c r="Y38">
        <v>9</v>
      </c>
    </row>
    <row r="39" spans="1:25" x14ac:dyDescent="0.25">
      <c r="A39">
        <v>0</v>
      </c>
      <c r="B39">
        <v>0.120995952519098</v>
      </c>
      <c r="C39">
        <v>0.118214773221122</v>
      </c>
      <c r="D39">
        <v>0.120643648839693</v>
      </c>
      <c r="E39">
        <v>0.10300595458753301</v>
      </c>
      <c r="F39">
        <v>0.1</v>
      </c>
      <c r="G39">
        <v>4.5662924824005602</v>
      </c>
      <c r="H39">
        <v>296.63818410883601</v>
      </c>
      <c r="I39">
        <v>296.834199246266</v>
      </c>
      <c r="J39">
        <v>296.57326874158298</v>
      </c>
      <c r="K39">
        <v>296.35463772030698</v>
      </c>
      <c r="L39">
        <v>295.58934157274001</v>
      </c>
      <c r="M39">
        <v>297.474999999999</v>
      </c>
      <c r="N39">
        <v>0.62705357142857099</v>
      </c>
      <c r="O39">
        <v>22400.559426689899</v>
      </c>
      <c r="Q39">
        <v>299.14999999999998</v>
      </c>
      <c r="R39">
        <f t="shared" si="1"/>
        <v>26</v>
      </c>
      <c r="S39">
        <f t="shared" si="2"/>
        <v>23.488184108836037</v>
      </c>
      <c r="T39">
        <f t="shared" si="3"/>
        <v>23.684199246266019</v>
      </c>
      <c r="U39">
        <f t="shared" si="4"/>
        <v>23.423268741583001</v>
      </c>
      <c r="V39">
        <f t="shared" si="5"/>
        <v>23.204637720307005</v>
      </c>
      <c r="W39">
        <f t="shared" si="6"/>
        <v>22.439341572740034</v>
      </c>
      <c r="Y39">
        <v>9.25</v>
      </c>
    </row>
    <row r="40" spans="1:25" x14ac:dyDescent="0.25">
      <c r="A40">
        <v>0</v>
      </c>
      <c r="B40">
        <v>0.119216815352371</v>
      </c>
      <c r="C40">
        <v>0.11642918437650999</v>
      </c>
      <c r="D40">
        <v>0.11895264519511201</v>
      </c>
      <c r="E40">
        <v>0.101593250063445</v>
      </c>
      <c r="F40">
        <v>0.1</v>
      </c>
      <c r="G40">
        <v>4.5279598851182801</v>
      </c>
      <c r="H40">
        <v>296.72093035945102</v>
      </c>
      <c r="I40">
        <v>296.93561224000302</v>
      </c>
      <c r="J40">
        <v>296.62049512108302</v>
      </c>
      <c r="K40">
        <v>296.39862539043997</v>
      </c>
      <c r="L40">
        <v>295.62218716635903</v>
      </c>
      <c r="M40">
        <v>297.89999999999998</v>
      </c>
      <c r="N40">
        <v>0.61571428571428499</v>
      </c>
      <c r="O40">
        <v>22429.167351716598</v>
      </c>
      <c r="Q40">
        <v>299.14999999999998</v>
      </c>
      <c r="R40">
        <f t="shared" si="1"/>
        <v>26</v>
      </c>
      <c r="S40">
        <f t="shared" si="2"/>
        <v>23.57093035945104</v>
      </c>
      <c r="T40">
        <f t="shared" si="3"/>
        <v>23.785612240003047</v>
      </c>
      <c r="U40">
        <f t="shared" si="4"/>
        <v>23.470495121083047</v>
      </c>
      <c r="V40">
        <f t="shared" si="5"/>
        <v>23.248625390439997</v>
      </c>
      <c r="W40">
        <f t="shared" si="6"/>
        <v>22.472187166359049</v>
      </c>
      <c r="Y40">
        <v>9.5</v>
      </c>
    </row>
    <row r="41" spans="1:25" x14ac:dyDescent="0.25">
      <c r="A41">
        <v>0</v>
      </c>
      <c r="B41">
        <v>0.11818965960263</v>
      </c>
      <c r="C41">
        <v>0.11544553440616299</v>
      </c>
      <c r="D41">
        <v>0.117942612254157</v>
      </c>
      <c r="E41">
        <v>0.101000156211338</v>
      </c>
      <c r="F41">
        <v>0.1</v>
      </c>
      <c r="G41">
        <v>4.5094549702037003</v>
      </c>
      <c r="H41">
        <v>296.79317555756001</v>
      </c>
      <c r="I41">
        <v>297.00556191253099</v>
      </c>
      <c r="J41">
        <v>296.65513245065603</v>
      </c>
      <c r="K41">
        <v>296.42946237415202</v>
      </c>
      <c r="L41">
        <v>295.64134737098698</v>
      </c>
      <c r="M41">
        <v>298.32499999999999</v>
      </c>
      <c r="N41">
        <v>0.606517857142857</v>
      </c>
      <c r="O41">
        <v>22619.365459879398</v>
      </c>
      <c r="Q41">
        <v>299.14999999999998</v>
      </c>
      <c r="R41">
        <f t="shared" si="1"/>
        <v>26</v>
      </c>
      <c r="S41">
        <f t="shared" si="2"/>
        <v>23.643175557560028</v>
      </c>
      <c r="T41">
        <f t="shared" si="3"/>
        <v>23.855561912531016</v>
      </c>
      <c r="U41">
        <f t="shared" si="4"/>
        <v>23.505132450656049</v>
      </c>
      <c r="V41">
        <f t="shared" si="5"/>
        <v>23.279462374152047</v>
      </c>
      <c r="W41">
        <f t="shared" si="6"/>
        <v>22.491347370987</v>
      </c>
      <c r="Y41">
        <v>9.75</v>
      </c>
    </row>
    <row r="42" spans="1:25" x14ac:dyDescent="0.25">
      <c r="A42">
        <v>0</v>
      </c>
      <c r="B42">
        <v>0.119509784553557</v>
      </c>
      <c r="C42">
        <v>0.116559512033553</v>
      </c>
      <c r="D42">
        <v>0.119253814030312</v>
      </c>
      <c r="E42">
        <v>0.102164147383889</v>
      </c>
      <c r="F42">
        <v>0.1</v>
      </c>
      <c r="G42">
        <v>4.5550910436915597</v>
      </c>
      <c r="H42">
        <v>296.86041389649102</v>
      </c>
      <c r="I42">
        <v>297.05080694264501</v>
      </c>
      <c r="J42">
        <v>296.68513585444799</v>
      </c>
      <c r="K42">
        <v>296.45510960348003</v>
      </c>
      <c r="L42">
        <v>295.64968808956502</v>
      </c>
      <c r="M42">
        <v>298.75</v>
      </c>
      <c r="N42">
        <v>0.6</v>
      </c>
      <c r="O42">
        <v>23412.1190430346</v>
      </c>
      <c r="Q42">
        <v>299.14999999999998</v>
      </c>
      <c r="R42">
        <f t="shared" si="1"/>
        <v>26</v>
      </c>
      <c r="S42">
        <f t="shared" si="2"/>
        <v>23.710413896491048</v>
      </c>
      <c r="T42">
        <f t="shared" si="3"/>
        <v>23.900806942645033</v>
      </c>
      <c r="U42">
        <f t="shared" si="4"/>
        <v>23.535135854448015</v>
      </c>
      <c r="V42">
        <f t="shared" si="5"/>
        <v>23.305109603480048</v>
      </c>
      <c r="W42">
        <f t="shared" si="6"/>
        <v>22.499688089565041</v>
      </c>
      <c r="Y42">
        <v>10</v>
      </c>
    </row>
    <row r="43" spans="1:25" x14ac:dyDescent="0.25">
      <c r="A43">
        <v>0</v>
      </c>
      <c r="B43">
        <v>0.116160416351839</v>
      </c>
      <c r="C43">
        <v>0.113417783237608</v>
      </c>
      <c r="D43">
        <v>0.11597404183193701</v>
      </c>
      <c r="E43">
        <v>9.9294102383789801E-2</v>
      </c>
      <c r="F43">
        <v>0.1</v>
      </c>
      <c r="G43">
        <v>4.5485875109390097</v>
      </c>
      <c r="H43">
        <v>296.93363421175002</v>
      </c>
      <c r="I43">
        <v>297.09040847369499</v>
      </c>
      <c r="J43">
        <v>296.72056916661501</v>
      </c>
      <c r="K43">
        <v>296.48809395161101</v>
      </c>
      <c r="L43">
        <v>295.66590764244103</v>
      </c>
      <c r="M43">
        <v>299.12471590909001</v>
      </c>
      <c r="N43">
        <v>0.59499999999999997</v>
      </c>
      <c r="O43">
        <v>23778.387855135501</v>
      </c>
      <c r="Q43">
        <v>299.14999999999998</v>
      </c>
      <c r="R43">
        <f t="shared" si="1"/>
        <v>26</v>
      </c>
      <c r="S43">
        <f t="shared" si="2"/>
        <v>23.783634211750041</v>
      </c>
      <c r="T43">
        <f t="shared" si="3"/>
        <v>23.940408473695015</v>
      </c>
      <c r="U43">
        <f t="shared" si="4"/>
        <v>23.57056916661503</v>
      </c>
      <c r="V43">
        <f t="shared" si="5"/>
        <v>23.338093951611029</v>
      </c>
      <c r="W43">
        <f t="shared" si="6"/>
        <v>22.51590764244105</v>
      </c>
      <c r="Y43">
        <v>10.25</v>
      </c>
    </row>
    <row r="44" spans="1:25" x14ac:dyDescent="0.25">
      <c r="A44">
        <v>0</v>
      </c>
      <c r="B44">
        <v>0.115851995688959</v>
      </c>
      <c r="C44">
        <v>0.11302771430095999</v>
      </c>
      <c r="D44">
        <v>0.115727391817066</v>
      </c>
      <c r="E44">
        <v>9.9132776492524E-2</v>
      </c>
      <c r="F44">
        <v>0.1</v>
      </c>
      <c r="G44">
        <v>4.5387903180691804</v>
      </c>
      <c r="H44">
        <v>296.99838568263698</v>
      </c>
      <c r="I44">
        <v>297.11082592875101</v>
      </c>
      <c r="J44">
        <v>296.74674310828198</v>
      </c>
      <c r="K44">
        <v>296.51173235874501</v>
      </c>
      <c r="L44">
        <v>295.678706271821</v>
      </c>
      <c r="M44">
        <v>299.415909090909</v>
      </c>
      <c r="N44">
        <v>0.59</v>
      </c>
      <c r="O44">
        <v>23875.781783084902</v>
      </c>
      <c r="Q44">
        <v>299.14999999999998</v>
      </c>
      <c r="R44">
        <f t="shared" si="1"/>
        <v>26</v>
      </c>
      <c r="S44">
        <f t="shared" si="2"/>
        <v>23.848385682637002</v>
      </c>
      <c r="T44">
        <f t="shared" si="3"/>
        <v>23.960825928751035</v>
      </c>
      <c r="U44">
        <f t="shared" si="4"/>
        <v>23.596743108281999</v>
      </c>
      <c r="V44">
        <f t="shared" si="5"/>
        <v>23.36173235874503</v>
      </c>
      <c r="W44">
        <f t="shared" si="6"/>
        <v>22.528706271821022</v>
      </c>
      <c r="Y44">
        <v>10.5</v>
      </c>
    </row>
    <row r="45" spans="1:25" x14ac:dyDescent="0.25">
      <c r="A45">
        <v>0</v>
      </c>
      <c r="B45">
        <v>0.11904550045836999</v>
      </c>
      <c r="C45">
        <v>0.115864925164112</v>
      </c>
      <c r="D45">
        <v>0.118978019206037</v>
      </c>
      <c r="E45">
        <v>0.101981606920618</v>
      </c>
      <c r="F45">
        <v>0.1</v>
      </c>
      <c r="G45">
        <v>4.5125921862204903</v>
      </c>
      <c r="H45">
        <v>297.06040725699802</v>
      </c>
      <c r="I45">
        <v>297.12020391916798</v>
      </c>
      <c r="J45">
        <v>296.76968913362202</v>
      </c>
      <c r="K45">
        <v>296.532911455175</v>
      </c>
      <c r="L45">
        <v>295.69688232588197</v>
      </c>
      <c r="M45">
        <v>299.64914772727201</v>
      </c>
      <c r="N45">
        <v>0.58499999999999996</v>
      </c>
      <c r="O45">
        <v>23674.792875109499</v>
      </c>
      <c r="Q45">
        <v>299.14999999999998</v>
      </c>
      <c r="R45">
        <f t="shared" si="1"/>
        <v>26</v>
      </c>
      <c r="S45">
        <f t="shared" si="2"/>
        <v>23.910407256998042</v>
      </c>
      <c r="T45">
        <f t="shared" si="3"/>
        <v>23.970203919168</v>
      </c>
      <c r="U45">
        <f t="shared" si="4"/>
        <v>23.619689133622046</v>
      </c>
      <c r="V45">
        <f t="shared" si="5"/>
        <v>23.382911455175019</v>
      </c>
      <c r="W45">
        <f t="shared" si="6"/>
        <v>22.546882325881995</v>
      </c>
      <c r="Y45">
        <v>10.75</v>
      </c>
    </row>
    <row r="46" spans="1:25" x14ac:dyDescent="0.25">
      <c r="A46">
        <v>0</v>
      </c>
      <c r="B46">
        <v>0.115900183406332</v>
      </c>
      <c r="C46">
        <v>0.11302363119433601</v>
      </c>
      <c r="D46">
        <v>0.115932333930393</v>
      </c>
      <c r="E46">
        <v>9.9286650173553301E-2</v>
      </c>
      <c r="F46">
        <v>0.1</v>
      </c>
      <c r="G46">
        <v>4.5254135792460701</v>
      </c>
      <c r="H46">
        <v>297.12178261520597</v>
      </c>
      <c r="I46">
        <v>297.11980791477203</v>
      </c>
      <c r="J46">
        <v>296.79309184158001</v>
      </c>
      <c r="K46">
        <v>296.553328713599</v>
      </c>
      <c r="L46">
        <v>295.69742682152997</v>
      </c>
      <c r="M46">
        <v>299.849999999999</v>
      </c>
      <c r="N46">
        <v>0.57999999999999996</v>
      </c>
      <c r="O46">
        <v>23869.4425331159</v>
      </c>
      <c r="Q46">
        <v>299.14999999999998</v>
      </c>
      <c r="R46">
        <f t="shared" si="1"/>
        <v>26</v>
      </c>
      <c r="S46">
        <f t="shared" si="2"/>
        <v>23.971782615205996</v>
      </c>
      <c r="T46">
        <f t="shared" si="3"/>
        <v>23.969807914772048</v>
      </c>
      <c r="U46">
        <f t="shared" si="4"/>
        <v>23.643091841580031</v>
      </c>
      <c r="V46">
        <f t="shared" si="5"/>
        <v>23.403328713599024</v>
      </c>
      <c r="W46">
        <f t="shared" si="6"/>
        <v>22.547426821529996</v>
      </c>
      <c r="Y46">
        <v>11</v>
      </c>
    </row>
    <row r="47" spans="1:25" x14ac:dyDescent="0.25">
      <c r="A47">
        <v>0</v>
      </c>
      <c r="B47">
        <v>0.115821788986399</v>
      </c>
      <c r="C47">
        <v>0.11292481369521699</v>
      </c>
      <c r="D47">
        <v>0.115967191609336</v>
      </c>
      <c r="E47">
        <v>9.9352201351729993E-2</v>
      </c>
      <c r="F47">
        <v>0.1</v>
      </c>
      <c r="G47">
        <v>4.5524722671495201</v>
      </c>
      <c r="H47">
        <v>297.18851889258201</v>
      </c>
      <c r="I47">
        <v>297.12113137566598</v>
      </c>
      <c r="J47">
        <v>296.82181582701003</v>
      </c>
      <c r="K47">
        <v>296.58022915578198</v>
      </c>
      <c r="L47">
        <v>295.71226117245402</v>
      </c>
      <c r="M47">
        <v>300.02507102272699</v>
      </c>
      <c r="N47">
        <v>0.57499999999999996</v>
      </c>
      <c r="O47">
        <v>24166.502832154099</v>
      </c>
      <c r="Q47">
        <v>299.14999999999998</v>
      </c>
      <c r="R47">
        <f t="shared" si="1"/>
        <v>26</v>
      </c>
      <c r="S47">
        <f t="shared" si="2"/>
        <v>24.038518892582033</v>
      </c>
      <c r="T47">
        <f t="shared" si="3"/>
        <v>23.971131375666005</v>
      </c>
      <c r="U47">
        <f t="shared" si="4"/>
        <v>23.67181582701005</v>
      </c>
      <c r="V47">
        <f t="shared" si="5"/>
        <v>23.430229155782001</v>
      </c>
      <c r="W47">
        <f t="shared" si="6"/>
        <v>22.562261172454043</v>
      </c>
      <c r="Y47">
        <v>11.25</v>
      </c>
    </row>
    <row r="48" spans="1:25" x14ac:dyDescent="0.25">
      <c r="A48">
        <v>0</v>
      </c>
      <c r="B48">
        <v>0.119015769386548</v>
      </c>
      <c r="C48">
        <v>0.115861926353166</v>
      </c>
      <c r="D48">
        <v>0.11925043383242701</v>
      </c>
      <c r="E48">
        <v>0.10223817763757501</v>
      </c>
      <c r="F48">
        <v>0.1</v>
      </c>
      <c r="G48">
        <v>4.5477162501286896</v>
      </c>
      <c r="H48">
        <v>297.23769470693998</v>
      </c>
      <c r="I48">
        <v>297.101540579816</v>
      </c>
      <c r="J48">
        <v>296.83353592954302</v>
      </c>
      <c r="K48">
        <v>296.58973088757</v>
      </c>
      <c r="L48">
        <v>295.71560632006299</v>
      </c>
      <c r="M48">
        <v>300.16534090908999</v>
      </c>
      <c r="N48">
        <v>0.56999999999999995</v>
      </c>
      <c r="O48">
        <v>24200.448161711902</v>
      </c>
      <c r="Q48">
        <v>299.14999999999998</v>
      </c>
      <c r="R48">
        <f t="shared" si="1"/>
        <v>26</v>
      </c>
      <c r="S48">
        <f t="shared" si="2"/>
        <v>24.087694706939999</v>
      </c>
      <c r="T48">
        <f t="shared" si="3"/>
        <v>23.951540579816026</v>
      </c>
      <c r="U48">
        <f t="shared" si="4"/>
        <v>23.683535929543041</v>
      </c>
      <c r="V48">
        <f t="shared" si="5"/>
        <v>23.439730887570022</v>
      </c>
      <c r="W48">
        <f t="shared" si="6"/>
        <v>22.565606320063011</v>
      </c>
      <c r="Y48">
        <v>11.5</v>
      </c>
    </row>
    <row r="49" spans="1:25" x14ac:dyDescent="0.25">
      <c r="A49">
        <v>0</v>
      </c>
      <c r="B49">
        <v>0.115794602218562</v>
      </c>
      <c r="C49">
        <v>0.113030834289458</v>
      </c>
      <c r="D49">
        <v>0.11606216947767301</v>
      </c>
      <c r="E49">
        <v>9.9468117093250999E-2</v>
      </c>
      <c r="F49">
        <v>0.1</v>
      </c>
      <c r="G49">
        <v>4.5483644496264004</v>
      </c>
      <c r="H49">
        <v>297.29877547088</v>
      </c>
      <c r="I49">
        <v>297.09479153397501</v>
      </c>
      <c r="J49">
        <v>296.85992884943499</v>
      </c>
      <c r="K49">
        <v>296.614199797244</v>
      </c>
      <c r="L49">
        <v>295.72386301820001</v>
      </c>
      <c r="M49">
        <v>300.27294034090897</v>
      </c>
      <c r="N49">
        <v>0.56499999999999995</v>
      </c>
      <c r="O49">
        <v>24235.850786362898</v>
      </c>
      <c r="Q49">
        <v>299.14999999999998</v>
      </c>
      <c r="R49">
        <f t="shared" si="1"/>
        <v>26</v>
      </c>
      <c r="S49">
        <f t="shared" si="2"/>
        <v>24.148775470880025</v>
      </c>
      <c r="T49">
        <f t="shared" si="3"/>
        <v>23.944791533975035</v>
      </c>
      <c r="U49">
        <f t="shared" si="4"/>
        <v>23.709928849435016</v>
      </c>
      <c r="V49">
        <f t="shared" si="5"/>
        <v>23.464199797244021</v>
      </c>
      <c r="W49">
        <f t="shared" si="6"/>
        <v>22.573863018200029</v>
      </c>
      <c r="Y49">
        <v>11.75</v>
      </c>
    </row>
    <row r="50" spans="1:25" x14ac:dyDescent="0.25">
      <c r="A50">
        <v>0</v>
      </c>
      <c r="B50">
        <v>0.11552300753803101</v>
      </c>
      <c r="C50">
        <v>0.11290372425278999</v>
      </c>
      <c r="D50">
        <v>0.115932479534302</v>
      </c>
      <c r="E50">
        <v>9.9402104687712697E-2</v>
      </c>
      <c r="F50">
        <v>0.1</v>
      </c>
      <c r="G50">
        <v>4.5395541950765201</v>
      </c>
      <c r="H50">
        <v>297.34878473019103</v>
      </c>
      <c r="I50">
        <v>297.08604244964198</v>
      </c>
      <c r="J50">
        <v>296.87769809211801</v>
      </c>
      <c r="K50">
        <v>296.63006828607899</v>
      </c>
      <c r="L50">
        <v>295.730717165199</v>
      </c>
      <c r="M50">
        <v>300.349999999999</v>
      </c>
      <c r="N50">
        <v>0.56000000000000005</v>
      </c>
      <c r="O50">
        <v>24138.8877773493</v>
      </c>
      <c r="Q50">
        <v>299.14999999999998</v>
      </c>
      <c r="R50">
        <f t="shared" si="1"/>
        <v>26</v>
      </c>
      <c r="S50">
        <f t="shared" si="2"/>
        <v>24.198784730191051</v>
      </c>
      <c r="T50">
        <f t="shared" si="3"/>
        <v>23.936042449642002</v>
      </c>
      <c r="U50">
        <f t="shared" si="4"/>
        <v>23.727698092118032</v>
      </c>
      <c r="V50">
        <f t="shared" si="5"/>
        <v>23.480068286079018</v>
      </c>
      <c r="W50">
        <f t="shared" si="6"/>
        <v>22.580717165199019</v>
      </c>
      <c r="Y50">
        <v>12</v>
      </c>
    </row>
    <row r="51" spans="1:25" x14ac:dyDescent="0.25">
      <c r="A51">
        <v>0</v>
      </c>
      <c r="B51">
        <v>0.11936201954930301</v>
      </c>
      <c r="C51">
        <v>0.116634879311022</v>
      </c>
      <c r="D51">
        <v>0.120016908019696</v>
      </c>
      <c r="E51">
        <v>0.102920913845687</v>
      </c>
      <c r="F51">
        <v>0.1</v>
      </c>
      <c r="G51">
        <v>4.5147548541892597</v>
      </c>
      <c r="H51">
        <v>297.33598562545598</v>
      </c>
      <c r="I51">
        <v>297.02698148460797</v>
      </c>
      <c r="J51">
        <v>296.83235519115902</v>
      </c>
      <c r="K51">
        <v>296.58846950003499</v>
      </c>
      <c r="L51">
        <v>295.69013483652799</v>
      </c>
      <c r="M51">
        <v>300.37876420454501</v>
      </c>
      <c r="N51">
        <v>0.55789062499999997</v>
      </c>
      <c r="O51">
        <v>23793.130184798702</v>
      </c>
      <c r="Q51">
        <v>299.14999999999998</v>
      </c>
      <c r="R51">
        <f t="shared" si="1"/>
        <v>26</v>
      </c>
      <c r="S51">
        <f t="shared" si="2"/>
        <v>24.185985625455999</v>
      </c>
      <c r="T51">
        <f t="shared" si="3"/>
        <v>23.876981484607995</v>
      </c>
      <c r="U51">
        <f t="shared" si="4"/>
        <v>23.682355191159047</v>
      </c>
      <c r="V51">
        <f t="shared" si="5"/>
        <v>23.438469500035012</v>
      </c>
      <c r="W51">
        <f t="shared" si="6"/>
        <v>22.540134836528011</v>
      </c>
      <c r="Y51">
        <v>12.25</v>
      </c>
    </row>
    <row r="52" spans="1:25" x14ac:dyDescent="0.25">
      <c r="A52">
        <v>0</v>
      </c>
      <c r="B52">
        <v>0.11558597733685699</v>
      </c>
      <c r="C52">
        <v>0.113284003652469</v>
      </c>
      <c r="D52">
        <v>0.116207779069114</v>
      </c>
      <c r="E52">
        <v>9.9613567209005299E-2</v>
      </c>
      <c r="F52">
        <v>0.1</v>
      </c>
      <c r="G52">
        <v>4.5373482015205102</v>
      </c>
      <c r="H52">
        <v>297.374578053194</v>
      </c>
      <c r="I52">
        <v>297.02328007161998</v>
      </c>
      <c r="J52">
        <v>296.84731713199398</v>
      </c>
      <c r="K52">
        <v>296.61157278588399</v>
      </c>
      <c r="L52">
        <v>295.68655884303098</v>
      </c>
      <c r="M52">
        <v>300.36420454545402</v>
      </c>
      <c r="N52">
        <v>0.55937499999999996</v>
      </c>
      <c r="O52">
        <v>23995.830583880401</v>
      </c>
      <c r="Q52">
        <v>299.14999999999998</v>
      </c>
      <c r="R52">
        <f t="shared" si="1"/>
        <v>26</v>
      </c>
      <c r="S52">
        <f t="shared" si="2"/>
        <v>24.224578053194023</v>
      </c>
      <c r="T52">
        <f t="shared" si="3"/>
        <v>23.873280071620002</v>
      </c>
      <c r="U52">
        <f t="shared" si="4"/>
        <v>23.697317131993998</v>
      </c>
      <c r="V52">
        <f t="shared" si="5"/>
        <v>23.461572785884016</v>
      </c>
      <c r="W52">
        <f t="shared" si="6"/>
        <v>22.536558843031003</v>
      </c>
      <c r="Y52">
        <v>12.5</v>
      </c>
    </row>
    <row r="53" spans="1:25" x14ac:dyDescent="0.25">
      <c r="A53">
        <v>0</v>
      </c>
      <c r="B53">
        <v>0.11527635915364801</v>
      </c>
      <c r="C53">
        <v>0.113176954262313</v>
      </c>
      <c r="D53">
        <v>0.116076065912753</v>
      </c>
      <c r="E53">
        <v>9.9517804789537201E-2</v>
      </c>
      <c r="F53">
        <v>0.1</v>
      </c>
      <c r="G53">
        <v>4.5517296118365396</v>
      </c>
      <c r="H53">
        <v>297.40468743980603</v>
      </c>
      <c r="I53">
        <v>297.01846764634001</v>
      </c>
      <c r="J53">
        <v>296.85880666620398</v>
      </c>
      <c r="K53">
        <v>296.64130095513798</v>
      </c>
      <c r="L53">
        <v>295.68658243563198</v>
      </c>
      <c r="M53">
        <v>300.342542613636</v>
      </c>
      <c r="N53">
        <v>0.56117187499999999</v>
      </c>
      <c r="O53">
        <v>24140.8549569196</v>
      </c>
      <c r="Q53">
        <v>299.14999999999998</v>
      </c>
      <c r="R53">
        <f t="shared" si="1"/>
        <v>26</v>
      </c>
      <c r="S53">
        <f t="shared" si="2"/>
        <v>24.254687439806048</v>
      </c>
      <c r="T53">
        <f t="shared" si="3"/>
        <v>23.868467646340036</v>
      </c>
      <c r="U53">
        <f t="shared" si="4"/>
        <v>23.708806666203998</v>
      </c>
      <c r="V53">
        <f t="shared" si="5"/>
        <v>23.491300955138001</v>
      </c>
      <c r="W53">
        <f t="shared" si="6"/>
        <v>22.536582435631999</v>
      </c>
      <c r="Y53">
        <v>12.75</v>
      </c>
    </row>
    <row r="54" spans="1:25" x14ac:dyDescent="0.25">
      <c r="A54">
        <v>0</v>
      </c>
      <c r="B54">
        <v>0.11913957629499</v>
      </c>
      <c r="C54">
        <v>0.116951598081398</v>
      </c>
      <c r="D54">
        <v>0.120185989233816</v>
      </c>
      <c r="E54">
        <v>0.103064425524461</v>
      </c>
      <c r="F54">
        <v>0.1</v>
      </c>
      <c r="G54">
        <v>4.5476780492995896</v>
      </c>
      <c r="H54">
        <v>297.42239785740497</v>
      </c>
      <c r="I54">
        <v>297.01090147469199</v>
      </c>
      <c r="J54">
        <v>296.86565982487599</v>
      </c>
      <c r="K54">
        <v>296.67162051520597</v>
      </c>
      <c r="L54">
        <v>295.69295494895698</v>
      </c>
      <c r="M54">
        <v>300.349999999999</v>
      </c>
      <c r="N54">
        <v>0.56000000000000005</v>
      </c>
      <c r="O54">
        <v>24071.904945439601</v>
      </c>
      <c r="Q54">
        <v>299.14999999999998</v>
      </c>
      <c r="R54">
        <f t="shared" si="1"/>
        <v>26</v>
      </c>
      <c r="S54">
        <f t="shared" si="2"/>
        <v>24.272397857404997</v>
      </c>
      <c r="T54">
        <f t="shared" si="3"/>
        <v>23.860901474692014</v>
      </c>
      <c r="U54">
        <f t="shared" si="4"/>
        <v>23.715659824876013</v>
      </c>
      <c r="V54">
        <f t="shared" si="5"/>
        <v>23.521620515205996</v>
      </c>
      <c r="W54">
        <f t="shared" si="6"/>
        <v>22.542954948957004</v>
      </c>
      <c r="Y54">
        <v>13</v>
      </c>
    </row>
    <row r="55" spans="1:25" x14ac:dyDescent="0.25">
      <c r="A55">
        <v>0</v>
      </c>
      <c r="B55">
        <v>0.11539107051924</v>
      </c>
      <c r="C55">
        <v>0.113445032849725</v>
      </c>
      <c r="D55">
        <v>0.11626610726181399</v>
      </c>
      <c r="E55">
        <v>9.9716684325921207E-2</v>
      </c>
      <c r="F55">
        <v>0.1</v>
      </c>
      <c r="G55">
        <v>4.5487518674893597</v>
      </c>
      <c r="H55">
        <v>297.55390666483902</v>
      </c>
      <c r="I55">
        <v>297.12601070685503</v>
      </c>
      <c r="J55">
        <v>297.006565939263</v>
      </c>
      <c r="K55">
        <v>296.82858945236302</v>
      </c>
      <c r="L55">
        <v>295.80740503797898</v>
      </c>
      <c r="M55">
        <v>300.45187702921999</v>
      </c>
      <c r="N55">
        <v>0.55404687500000005</v>
      </c>
      <c r="O55">
        <v>24315.448471186399</v>
      </c>
      <c r="Q55">
        <v>299.14999999999998</v>
      </c>
      <c r="R55">
        <f t="shared" si="1"/>
        <v>26</v>
      </c>
      <c r="S55">
        <f t="shared" si="2"/>
        <v>24.403906664839042</v>
      </c>
      <c r="T55">
        <f t="shared" si="3"/>
        <v>23.97601070685505</v>
      </c>
      <c r="U55">
        <f t="shared" si="4"/>
        <v>23.856565939263021</v>
      </c>
      <c r="V55">
        <f t="shared" si="5"/>
        <v>23.678589452363042</v>
      </c>
      <c r="W55">
        <f t="shared" si="6"/>
        <v>22.657405037979004</v>
      </c>
      <c r="Y55">
        <v>13.25</v>
      </c>
    </row>
    <row r="56" spans="1:25" x14ac:dyDescent="0.25">
      <c r="A56">
        <v>0</v>
      </c>
      <c r="B56">
        <v>0.11510339654494001</v>
      </c>
      <c r="C56">
        <v>0.113260201363412</v>
      </c>
      <c r="D56">
        <v>0.116077632702954</v>
      </c>
      <c r="E56">
        <v>9.9596843065829097E-2</v>
      </c>
      <c r="F56">
        <v>0.1</v>
      </c>
      <c r="G56">
        <v>4.5397165812479496</v>
      </c>
      <c r="H56">
        <v>297.57607008151501</v>
      </c>
      <c r="I56">
        <v>297.139148705217</v>
      </c>
      <c r="J56">
        <v>297.03412559728503</v>
      </c>
      <c r="K56">
        <v>296.87750130974399</v>
      </c>
      <c r="L56">
        <v>295.82368777489302</v>
      </c>
      <c r="M56">
        <v>300.63758116883099</v>
      </c>
      <c r="N56">
        <v>0.54537500000000005</v>
      </c>
      <c r="O56">
        <v>24351.669427654</v>
      </c>
      <c r="Q56">
        <v>299.14999999999998</v>
      </c>
      <c r="R56">
        <f t="shared" si="1"/>
        <v>26</v>
      </c>
      <c r="S56">
        <f t="shared" si="2"/>
        <v>24.426070081515036</v>
      </c>
      <c r="T56">
        <f t="shared" si="3"/>
        <v>23.989148705217019</v>
      </c>
      <c r="U56">
        <f t="shared" si="4"/>
        <v>23.884125597285049</v>
      </c>
      <c r="V56">
        <f t="shared" si="5"/>
        <v>23.727501309744014</v>
      </c>
      <c r="W56">
        <f t="shared" si="6"/>
        <v>22.67368777489304</v>
      </c>
      <c r="Y56">
        <v>13.5</v>
      </c>
    </row>
    <row r="57" spans="1:25" x14ac:dyDescent="0.25">
      <c r="A57">
        <v>0</v>
      </c>
      <c r="B57">
        <v>0.119093124466933</v>
      </c>
      <c r="C57">
        <v>0.117101945864434</v>
      </c>
      <c r="D57">
        <v>0.120282373279036</v>
      </c>
      <c r="E57">
        <v>0.103208267830858</v>
      </c>
      <c r="F57">
        <v>0.1</v>
      </c>
      <c r="G57">
        <v>4.5155124828293598</v>
      </c>
      <c r="H57">
        <v>297.59920297317001</v>
      </c>
      <c r="I57">
        <v>297.14866448678902</v>
      </c>
      <c r="J57">
        <v>297.05627312893898</v>
      </c>
      <c r="K57">
        <v>296.93084661822002</v>
      </c>
      <c r="L57">
        <v>295.84553897247599</v>
      </c>
      <c r="M57">
        <v>300.82949472402498</v>
      </c>
      <c r="N57">
        <v>0.53651562499999905</v>
      </c>
      <c r="O57">
        <v>24234.638230290999</v>
      </c>
      <c r="Q57">
        <v>299.14999999999998</v>
      </c>
      <c r="R57">
        <f t="shared" si="1"/>
        <v>26</v>
      </c>
      <c r="S57">
        <f t="shared" si="2"/>
        <v>24.449202973170031</v>
      </c>
      <c r="T57">
        <f t="shared" si="3"/>
        <v>23.998664486789039</v>
      </c>
      <c r="U57">
        <f t="shared" si="4"/>
        <v>23.906273128939006</v>
      </c>
      <c r="V57">
        <f t="shared" si="5"/>
        <v>23.780846618220039</v>
      </c>
      <c r="W57">
        <f t="shared" si="6"/>
        <v>22.695538972476015</v>
      </c>
      <c r="Y57">
        <v>13.75</v>
      </c>
    </row>
    <row r="58" spans="1:25" x14ac:dyDescent="0.25">
      <c r="A58">
        <v>0</v>
      </c>
      <c r="B58">
        <v>0.11537218937917899</v>
      </c>
      <c r="C58">
        <v>0.113634571115141</v>
      </c>
      <c r="D58">
        <v>0.116432886442027</v>
      </c>
      <c r="E58">
        <v>9.9830917311962003E-2</v>
      </c>
      <c r="F58">
        <v>0.1</v>
      </c>
      <c r="G58">
        <v>4.5379829255806099</v>
      </c>
      <c r="H58">
        <v>297.62674291647602</v>
      </c>
      <c r="I58">
        <v>297.16152627763603</v>
      </c>
      <c r="J58">
        <v>297.08323971818299</v>
      </c>
      <c r="K58">
        <v>296.995283513711</v>
      </c>
      <c r="L58">
        <v>295.85429659155199</v>
      </c>
      <c r="M58">
        <v>300.95</v>
      </c>
      <c r="N58">
        <v>0.53</v>
      </c>
      <c r="O58">
        <v>24724.272369556398</v>
      </c>
      <c r="Q58">
        <v>299.14999999999998</v>
      </c>
      <c r="R58">
        <f t="shared" si="1"/>
        <v>26</v>
      </c>
      <c r="S58">
        <f t="shared" si="2"/>
        <v>24.476742916476042</v>
      </c>
      <c r="T58">
        <f t="shared" si="3"/>
        <v>24.011526277636051</v>
      </c>
      <c r="U58">
        <f t="shared" si="4"/>
        <v>23.933239718183017</v>
      </c>
      <c r="V58">
        <f t="shared" si="5"/>
        <v>23.845283513711024</v>
      </c>
      <c r="W58">
        <f t="shared" si="6"/>
        <v>22.704296591552009</v>
      </c>
      <c r="Y58">
        <v>14</v>
      </c>
    </row>
    <row r="59" spans="1:25" x14ac:dyDescent="0.25">
      <c r="A59">
        <v>0</v>
      </c>
      <c r="B59">
        <v>0.115161225538501</v>
      </c>
      <c r="C59">
        <v>0.11368286806069899</v>
      </c>
      <c r="D59">
        <v>0.11645144038031401</v>
      </c>
      <c r="E59">
        <v>9.9783902378748804E-2</v>
      </c>
      <c r="F59">
        <v>0.1</v>
      </c>
      <c r="G59">
        <v>4.5525890309195702</v>
      </c>
      <c r="H59">
        <v>297.64638468217498</v>
      </c>
      <c r="I59">
        <v>297.166492108927</v>
      </c>
      <c r="J59">
        <v>297.10066036867897</v>
      </c>
      <c r="K59">
        <v>297.06047670723001</v>
      </c>
      <c r="L59">
        <v>295.86333150972501</v>
      </c>
      <c r="M59">
        <v>300.81127232142802</v>
      </c>
      <c r="N59">
        <v>0.52700000000000002</v>
      </c>
      <c r="O59">
        <v>24995.495402164099</v>
      </c>
      <c r="Q59">
        <v>299.14999999999998</v>
      </c>
      <c r="R59">
        <f t="shared" si="1"/>
        <v>26</v>
      </c>
      <c r="S59">
        <f t="shared" si="2"/>
        <v>24.496384682175005</v>
      </c>
      <c r="T59">
        <f t="shared" si="3"/>
        <v>24.016492108927025</v>
      </c>
      <c r="U59">
        <f t="shared" si="4"/>
        <v>23.950660368678996</v>
      </c>
      <c r="V59">
        <f t="shared" si="5"/>
        <v>23.910476707230032</v>
      </c>
      <c r="W59">
        <f t="shared" si="6"/>
        <v>22.713331509725037</v>
      </c>
      <c r="Y59">
        <v>14.25</v>
      </c>
    </row>
    <row r="60" spans="1:25" x14ac:dyDescent="0.25">
      <c r="A60">
        <v>0</v>
      </c>
      <c r="B60">
        <v>0.11895207998122</v>
      </c>
      <c r="C60">
        <v>0.117528474430801</v>
      </c>
      <c r="D60">
        <v>0.12064461120772001</v>
      </c>
      <c r="E60">
        <v>0.10322010367253499</v>
      </c>
      <c r="F60">
        <v>0.1</v>
      </c>
      <c r="G60">
        <v>4.5488679735731301</v>
      </c>
      <c r="H60">
        <v>297.65722523363002</v>
      </c>
      <c r="I60">
        <v>297.16617146125998</v>
      </c>
      <c r="J60">
        <v>297.111047398354</v>
      </c>
      <c r="K60">
        <v>297.12578495926101</v>
      </c>
      <c r="L60">
        <v>295.87812279759299</v>
      </c>
      <c r="M60">
        <v>300.429464285714</v>
      </c>
      <c r="N60">
        <v>0.52566666666666595</v>
      </c>
      <c r="O60">
        <v>24644.711645674401</v>
      </c>
      <c r="Q60">
        <v>299.14999999999998</v>
      </c>
      <c r="R60">
        <f t="shared" si="1"/>
        <v>26</v>
      </c>
      <c r="S60">
        <f t="shared" si="2"/>
        <v>24.507225233630038</v>
      </c>
      <c r="T60">
        <f t="shared" si="3"/>
        <v>24.016171461260001</v>
      </c>
      <c r="U60">
        <f t="shared" si="4"/>
        <v>23.961047398354026</v>
      </c>
      <c r="V60">
        <f t="shared" si="5"/>
        <v>23.975784959261034</v>
      </c>
      <c r="W60">
        <f t="shared" si="6"/>
        <v>22.728122797593016</v>
      </c>
      <c r="Y60">
        <v>14.5</v>
      </c>
    </row>
    <row r="61" spans="1:25" x14ac:dyDescent="0.25">
      <c r="A61">
        <v>0</v>
      </c>
      <c r="B61">
        <v>0.115093078045019</v>
      </c>
      <c r="C61">
        <v>0.113869919046085</v>
      </c>
      <c r="D61">
        <v>0.116619860975635</v>
      </c>
      <c r="E61">
        <v>9.9750823403304198E-2</v>
      </c>
      <c r="F61">
        <v>0.1</v>
      </c>
      <c r="G61">
        <v>4.5498175680180797</v>
      </c>
      <c r="H61">
        <v>297.672256031345</v>
      </c>
      <c r="I61">
        <v>297.17527930773298</v>
      </c>
      <c r="J61">
        <v>297.13090666647003</v>
      </c>
      <c r="K61">
        <v>297.204069821426</v>
      </c>
      <c r="L61">
        <v>295.88973145579399</v>
      </c>
      <c r="M61">
        <v>300.03292410714198</v>
      </c>
      <c r="N61">
        <v>0.52400000000000002</v>
      </c>
      <c r="O61">
        <v>24270.564994619701</v>
      </c>
      <c r="Q61">
        <v>299.14999999999998</v>
      </c>
      <c r="R61">
        <f t="shared" si="1"/>
        <v>26</v>
      </c>
      <c r="S61">
        <f t="shared" si="2"/>
        <v>24.522256031345023</v>
      </c>
      <c r="T61">
        <f t="shared" si="3"/>
        <v>24.025279307733001</v>
      </c>
      <c r="U61">
        <f t="shared" si="4"/>
        <v>23.980906666470048</v>
      </c>
      <c r="V61">
        <f t="shared" si="5"/>
        <v>24.054069821426026</v>
      </c>
      <c r="W61">
        <f t="shared" si="6"/>
        <v>22.739731455794015</v>
      </c>
      <c r="Y61">
        <v>14.75</v>
      </c>
    </row>
    <row r="62" spans="1:25" x14ac:dyDescent="0.25">
      <c r="A62">
        <v>0</v>
      </c>
      <c r="B62">
        <v>0.114509404788459</v>
      </c>
      <c r="C62">
        <v>0.11334568861833801</v>
      </c>
      <c r="D62">
        <v>0.116176427173542</v>
      </c>
      <c r="E62">
        <v>9.9375296146226699E-2</v>
      </c>
      <c r="F62">
        <v>0.1</v>
      </c>
      <c r="G62">
        <v>4.54008560454609</v>
      </c>
      <c r="H62">
        <v>297.67809440822901</v>
      </c>
      <c r="I62">
        <v>297.17819245813303</v>
      </c>
      <c r="J62">
        <v>297.14351956885997</v>
      </c>
      <c r="K62">
        <v>297.28176664605201</v>
      </c>
      <c r="L62">
        <v>295.90169224134303</v>
      </c>
      <c r="M62">
        <v>299.849999999999</v>
      </c>
      <c r="N62">
        <v>0.52</v>
      </c>
      <c r="O62">
        <v>23737.2715102685</v>
      </c>
      <c r="Q62">
        <v>299.14999999999998</v>
      </c>
      <c r="R62">
        <f t="shared" si="1"/>
        <v>26</v>
      </c>
      <c r="S62">
        <f t="shared" si="2"/>
        <v>24.528094408229038</v>
      </c>
      <c r="T62">
        <f t="shared" si="3"/>
        <v>24.028192458133049</v>
      </c>
      <c r="U62">
        <f t="shared" si="4"/>
        <v>23.993519568859995</v>
      </c>
      <c r="V62">
        <f t="shared" si="5"/>
        <v>24.131766646052029</v>
      </c>
      <c r="W62">
        <f t="shared" si="6"/>
        <v>22.751692241343051</v>
      </c>
      <c r="Y62">
        <v>15</v>
      </c>
    </row>
    <row r="63" spans="1:25" x14ac:dyDescent="0.25">
      <c r="A63">
        <v>0</v>
      </c>
      <c r="B63">
        <v>0.11389205745443701</v>
      </c>
      <c r="C63">
        <v>0.11268753254184299</v>
      </c>
      <c r="D63">
        <v>0.11564788309539099</v>
      </c>
      <c r="E63">
        <v>9.8993098862026702E-2</v>
      </c>
      <c r="F63">
        <v>0.1</v>
      </c>
      <c r="G63">
        <v>4.5471772266856103</v>
      </c>
      <c r="H63">
        <v>297.68681352972499</v>
      </c>
      <c r="I63">
        <v>297.18685711244501</v>
      </c>
      <c r="J63">
        <v>297.16239289528198</v>
      </c>
      <c r="K63">
        <v>297.37052507953399</v>
      </c>
      <c r="L63">
        <v>295.91595284481201</v>
      </c>
      <c r="M63">
        <v>300.03524305555499</v>
      </c>
      <c r="N63">
        <v>0.51332031249999999</v>
      </c>
      <c r="O63">
        <v>23649.449923885499</v>
      </c>
      <c r="Q63">
        <v>299.14999999999998</v>
      </c>
      <c r="R63">
        <f t="shared" si="1"/>
        <v>26</v>
      </c>
      <c r="S63">
        <f t="shared" si="2"/>
        <v>24.536813529725009</v>
      </c>
      <c r="T63">
        <f t="shared" si="3"/>
        <v>24.036857112445034</v>
      </c>
      <c r="U63">
        <f t="shared" si="4"/>
        <v>24.012392895282005</v>
      </c>
      <c r="V63">
        <f t="shared" si="5"/>
        <v>24.220525079534013</v>
      </c>
      <c r="W63">
        <f t="shared" si="6"/>
        <v>22.765952844812034</v>
      </c>
      <c r="Y63">
        <v>15.25</v>
      </c>
    </row>
    <row r="64" spans="1:25" x14ac:dyDescent="0.25">
      <c r="A64">
        <v>0</v>
      </c>
      <c r="B64">
        <v>0.111866054445034</v>
      </c>
      <c r="C64">
        <v>0.11042650353495299</v>
      </c>
      <c r="D64">
        <v>0.113177087295168</v>
      </c>
      <c r="E64">
        <v>9.6926811981886699E-2</v>
      </c>
      <c r="F64">
        <v>0.1</v>
      </c>
      <c r="G64">
        <v>4.5107189381596697</v>
      </c>
      <c r="H64">
        <v>297.702074717166</v>
      </c>
      <c r="I64">
        <v>297.20648283268503</v>
      </c>
      <c r="J64">
        <v>297.191189044949</v>
      </c>
      <c r="K64">
        <v>297.47390618312801</v>
      </c>
      <c r="L64">
        <v>295.94440847540102</v>
      </c>
      <c r="M64">
        <v>300.435648148148</v>
      </c>
      <c r="N64">
        <v>0.50552083333333298</v>
      </c>
      <c r="O64">
        <v>23666.023756095001</v>
      </c>
      <c r="Q64">
        <v>299.14999999999998</v>
      </c>
      <c r="R64">
        <f t="shared" si="1"/>
        <v>26</v>
      </c>
      <c r="S64">
        <f t="shared" si="2"/>
        <v>24.552074717166022</v>
      </c>
      <c r="T64">
        <f t="shared" si="3"/>
        <v>24.056482832685049</v>
      </c>
      <c r="U64">
        <f t="shared" si="4"/>
        <v>24.041189044949022</v>
      </c>
      <c r="V64">
        <f t="shared" si="5"/>
        <v>24.323906183128031</v>
      </c>
      <c r="W64">
        <f t="shared" si="6"/>
        <v>22.794408475401042</v>
      </c>
      <c r="Y64">
        <v>15.5</v>
      </c>
    </row>
    <row r="65" spans="1:25" x14ac:dyDescent="0.25">
      <c r="A65">
        <v>0</v>
      </c>
      <c r="B65">
        <v>0.111982399019004</v>
      </c>
      <c r="C65">
        <v>0.110480034695077</v>
      </c>
      <c r="D65">
        <v>0.113166048341617</v>
      </c>
      <c r="E65">
        <v>9.6791972961828801E-2</v>
      </c>
      <c r="F65">
        <v>0.1</v>
      </c>
      <c r="G65">
        <v>4.5192857309125403</v>
      </c>
      <c r="H65">
        <v>297.69510321384797</v>
      </c>
      <c r="I65">
        <v>297.20508122925003</v>
      </c>
      <c r="J65">
        <v>297.20074638626198</v>
      </c>
      <c r="K65">
        <v>297.55628649712497</v>
      </c>
      <c r="L65">
        <v>295.94670858770598</v>
      </c>
      <c r="M65">
        <v>300.81822916666601</v>
      </c>
      <c r="N65">
        <v>0.49746093749999998</v>
      </c>
      <c r="O65">
        <v>24060.369807875901</v>
      </c>
      <c r="Q65">
        <v>299.14999999999998</v>
      </c>
      <c r="R65">
        <f t="shared" si="1"/>
        <v>26</v>
      </c>
      <c r="S65">
        <f t="shared" si="2"/>
        <v>24.545103213847995</v>
      </c>
      <c r="T65">
        <f t="shared" si="3"/>
        <v>24.05508122925005</v>
      </c>
      <c r="U65">
        <f t="shared" si="4"/>
        <v>24.050746386262006</v>
      </c>
      <c r="V65">
        <f t="shared" si="5"/>
        <v>24.406286497124995</v>
      </c>
      <c r="W65">
        <f t="shared" si="6"/>
        <v>22.796708587706007</v>
      </c>
      <c r="Y65">
        <v>15.75</v>
      </c>
    </row>
    <row r="66" spans="1:25" x14ac:dyDescent="0.25">
      <c r="A66">
        <v>0</v>
      </c>
      <c r="B66">
        <v>0.11679404080389</v>
      </c>
      <c r="C66">
        <v>0.11509892364115901</v>
      </c>
      <c r="D66">
        <v>0.117942933914941</v>
      </c>
      <c r="E66">
        <v>0.10032243515346199</v>
      </c>
      <c r="F66">
        <v>0.1</v>
      </c>
      <c r="G66">
        <v>4.5302185298649604</v>
      </c>
      <c r="H66">
        <v>297.68353419882999</v>
      </c>
      <c r="I66">
        <v>297.20099732657599</v>
      </c>
      <c r="J66">
        <v>297.20722270033599</v>
      </c>
      <c r="K66">
        <v>297.63185113944201</v>
      </c>
      <c r="L66">
        <v>295.95468007693501</v>
      </c>
      <c r="M66">
        <v>300.95</v>
      </c>
      <c r="N66">
        <v>0.49</v>
      </c>
      <c r="O66">
        <v>24319.956919680699</v>
      </c>
      <c r="Q66">
        <v>299.14999999999998</v>
      </c>
      <c r="R66">
        <f t="shared" si="1"/>
        <v>26</v>
      </c>
      <c r="S66">
        <f t="shared" si="2"/>
        <v>24.533534198830012</v>
      </c>
      <c r="T66">
        <f t="shared" si="3"/>
        <v>24.05099732657601</v>
      </c>
      <c r="U66">
        <f t="shared" si="4"/>
        <v>24.057222700336013</v>
      </c>
      <c r="V66">
        <f t="shared" si="5"/>
        <v>24.481851139442028</v>
      </c>
      <c r="W66">
        <f t="shared" si="6"/>
        <v>22.804680076935028</v>
      </c>
      <c r="Y66">
        <v>16</v>
      </c>
    </row>
    <row r="67" spans="1:25" x14ac:dyDescent="0.25">
      <c r="A67">
        <v>0</v>
      </c>
      <c r="B67">
        <v>0.115439117398953</v>
      </c>
      <c r="C67">
        <v>0.114098563373407</v>
      </c>
      <c r="D67">
        <v>0.116650403049154</v>
      </c>
      <c r="E67">
        <v>9.8979249951266002E-2</v>
      </c>
      <c r="F67">
        <v>0.1</v>
      </c>
      <c r="G67">
        <v>4.5537684312603401</v>
      </c>
      <c r="H67">
        <v>297.68582519511699</v>
      </c>
      <c r="I67">
        <v>297.21202371457701</v>
      </c>
      <c r="J67">
        <v>297.22722798143099</v>
      </c>
      <c r="K67">
        <v>297.71326699107601</v>
      </c>
      <c r="L67">
        <v>295.97221248589102</v>
      </c>
      <c r="M67">
        <v>300.85850074404698</v>
      </c>
      <c r="N67">
        <v>0.48338281249999998</v>
      </c>
      <c r="O67">
        <v>24439.720643622499</v>
      </c>
      <c r="Q67">
        <v>299.14999999999998</v>
      </c>
      <c r="R67">
        <f t="shared" ref="R67:R130" si="7">IF(MOD(Y67,24)&lt;7,30,(IF(MOD(Y67,24)&lt;20,26,30)))</f>
        <v>26</v>
      </c>
      <c r="S67">
        <f t="shared" ref="S67:S130" si="8">H67-273.15</f>
        <v>24.535825195117013</v>
      </c>
      <c r="T67">
        <f t="shared" ref="T67:T130" si="9">I67-273.15</f>
        <v>24.062023714577037</v>
      </c>
      <c r="U67">
        <f t="shared" ref="U67:U130" si="10">J67-273.15</f>
        <v>24.077227981431008</v>
      </c>
      <c r="V67">
        <f t="shared" ref="V67:V130" si="11">K67-273.15</f>
        <v>24.563266991076034</v>
      </c>
      <c r="W67">
        <f t="shared" ref="W67:W130" si="12">L67-273.15</f>
        <v>22.822212485891043</v>
      </c>
      <c r="Y67">
        <v>16.25</v>
      </c>
    </row>
    <row r="68" spans="1:25" x14ac:dyDescent="0.25">
      <c r="A68">
        <v>0</v>
      </c>
      <c r="B68">
        <v>0.114949615811148</v>
      </c>
      <c r="C68">
        <v>0.11397319976642201</v>
      </c>
      <c r="D68">
        <v>0.11640487686185599</v>
      </c>
      <c r="E68">
        <v>9.8318467569474099E-2</v>
      </c>
      <c r="F68">
        <v>0.1</v>
      </c>
      <c r="G68">
        <v>4.5216367650883198</v>
      </c>
      <c r="H68">
        <v>297.67984099375701</v>
      </c>
      <c r="I68">
        <v>297.21339230911298</v>
      </c>
      <c r="J68">
        <v>297.23595531558698</v>
      </c>
      <c r="K68">
        <v>297.77398535879399</v>
      </c>
      <c r="L68">
        <v>295.98713114323698</v>
      </c>
      <c r="M68">
        <v>300.72729828042299</v>
      </c>
      <c r="N68">
        <v>0.4775625</v>
      </c>
      <c r="O68">
        <v>24064.3740034078</v>
      </c>
      <c r="Q68">
        <v>299.14999999999998</v>
      </c>
      <c r="R68">
        <f t="shared" si="7"/>
        <v>26</v>
      </c>
      <c r="S68">
        <f t="shared" si="8"/>
        <v>24.529840993757034</v>
      </c>
      <c r="T68">
        <f t="shared" si="9"/>
        <v>24.063392309112999</v>
      </c>
      <c r="U68">
        <f t="shared" si="10"/>
        <v>24.085955315587</v>
      </c>
      <c r="V68">
        <f t="shared" si="11"/>
        <v>24.623985358794016</v>
      </c>
      <c r="W68">
        <f t="shared" si="12"/>
        <v>22.837131143237002</v>
      </c>
      <c r="Y68">
        <v>16.5</v>
      </c>
    </row>
    <row r="69" spans="1:25" x14ac:dyDescent="0.25">
      <c r="A69">
        <v>0</v>
      </c>
      <c r="B69">
        <v>0.11397104536982899</v>
      </c>
      <c r="C69">
        <v>0.113150173826189</v>
      </c>
      <c r="D69">
        <v>0.115625036171301</v>
      </c>
      <c r="E69">
        <v>9.7146585029747906E-2</v>
      </c>
      <c r="F69">
        <v>0.1</v>
      </c>
      <c r="G69">
        <v>4.5481635654481103</v>
      </c>
      <c r="H69">
        <v>297.66665944410897</v>
      </c>
      <c r="I69">
        <v>297.20454789503299</v>
      </c>
      <c r="J69">
        <v>297.23594437795401</v>
      </c>
      <c r="K69">
        <v>297.82127980619498</v>
      </c>
      <c r="L69">
        <v>295.982643600919</v>
      </c>
      <c r="M69">
        <v>300.55744667658701</v>
      </c>
      <c r="N69">
        <v>0.47296093749999901</v>
      </c>
      <c r="O69">
        <v>24164.3795999543</v>
      </c>
      <c r="Q69">
        <v>299.14999999999998</v>
      </c>
      <c r="R69">
        <f t="shared" si="7"/>
        <v>26</v>
      </c>
      <c r="S69">
        <f t="shared" si="8"/>
        <v>24.516659444108996</v>
      </c>
      <c r="T69">
        <f t="shared" si="9"/>
        <v>24.054547895033011</v>
      </c>
      <c r="U69">
        <f t="shared" si="10"/>
        <v>24.085944377954036</v>
      </c>
      <c r="V69">
        <f t="shared" si="11"/>
        <v>24.671279806195002</v>
      </c>
      <c r="W69">
        <f t="shared" si="12"/>
        <v>22.832643600919027</v>
      </c>
      <c r="Y69">
        <v>16.75</v>
      </c>
    </row>
    <row r="70" spans="1:25" x14ac:dyDescent="0.25">
      <c r="A70">
        <v>0</v>
      </c>
      <c r="B70">
        <v>0.111363219017714</v>
      </c>
      <c r="C70">
        <v>0.11023116679441899</v>
      </c>
      <c r="D70">
        <v>0.112645757790709</v>
      </c>
      <c r="E70">
        <v>9.46211732912971E-2</v>
      </c>
      <c r="F70">
        <v>0.1</v>
      </c>
      <c r="G70">
        <v>4.5081941129720304</v>
      </c>
      <c r="H70">
        <v>297.67001598156901</v>
      </c>
      <c r="I70">
        <v>297.21366811390499</v>
      </c>
      <c r="J70">
        <v>297.25278768188298</v>
      </c>
      <c r="K70">
        <v>297.881665891171</v>
      </c>
      <c r="L70">
        <v>296.00438454439501</v>
      </c>
      <c r="M70">
        <v>300.349999999999</v>
      </c>
      <c r="N70">
        <v>0.47</v>
      </c>
      <c r="O70">
        <v>23606.636306581</v>
      </c>
      <c r="Q70">
        <v>299.14999999999998</v>
      </c>
      <c r="R70">
        <f t="shared" si="7"/>
        <v>26</v>
      </c>
      <c r="S70">
        <f t="shared" si="8"/>
        <v>24.520015981569031</v>
      </c>
      <c r="T70">
        <f t="shared" si="9"/>
        <v>24.06366811390501</v>
      </c>
      <c r="U70">
        <f t="shared" si="10"/>
        <v>24.102787681883001</v>
      </c>
      <c r="V70">
        <f t="shared" si="11"/>
        <v>24.731665891171019</v>
      </c>
      <c r="W70">
        <f t="shared" si="12"/>
        <v>22.854384544395032</v>
      </c>
      <c r="Y70">
        <v>17</v>
      </c>
    </row>
    <row r="71" spans="1:25" x14ac:dyDescent="0.25">
      <c r="A71">
        <v>0</v>
      </c>
      <c r="B71">
        <v>0.11121704446370401</v>
      </c>
      <c r="C71">
        <v>0.109843176719764</v>
      </c>
      <c r="D71">
        <v>0.11232430266590999</v>
      </c>
      <c r="E71">
        <v>9.4176268455719206E-2</v>
      </c>
      <c r="F71">
        <v>0.1</v>
      </c>
      <c r="G71">
        <v>4.5159050451437697</v>
      </c>
      <c r="H71">
        <v>297.60438437762201</v>
      </c>
      <c r="I71">
        <v>297.15194352454603</v>
      </c>
      <c r="J71">
        <v>297.20057488933799</v>
      </c>
      <c r="K71">
        <v>297.86663756572801</v>
      </c>
      <c r="L71">
        <v>295.95066170074898</v>
      </c>
      <c r="M71">
        <v>300.09481026785699</v>
      </c>
      <c r="N71">
        <v>0.47384210526315701</v>
      </c>
      <c r="O71">
        <v>23351.899931622</v>
      </c>
      <c r="Q71">
        <v>299.14999999999998</v>
      </c>
      <c r="R71">
        <f t="shared" si="7"/>
        <v>26</v>
      </c>
      <c r="S71">
        <f t="shared" si="8"/>
        <v>24.454384377622034</v>
      </c>
      <c r="T71">
        <f t="shared" si="9"/>
        <v>24.00194352454605</v>
      </c>
      <c r="U71">
        <f t="shared" si="10"/>
        <v>24.050574889338009</v>
      </c>
      <c r="V71">
        <f t="shared" si="11"/>
        <v>24.716637565728035</v>
      </c>
      <c r="W71">
        <f t="shared" si="12"/>
        <v>22.800661700749004</v>
      </c>
      <c r="Y71">
        <v>17.25</v>
      </c>
    </row>
    <row r="72" spans="1:25" x14ac:dyDescent="0.25">
      <c r="A72">
        <v>0</v>
      </c>
      <c r="B72">
        <v>0.11132556511969501</v>
      </c>
      <c r="C72">
        <v>0.109891538034221</v>
      </c>
      <c r="D72">
        <v>0.112301308573843</v>
      </c>
      <c r="E72">
        <v>9.4129102364641906E-2</v>
      </c>
      <c r="F72">
        <v>0.1</v>
      </c>
      <c r="G72">
        <v>4.48710483023347</v>
      </c>
      <c r="H72">
        <v>297.52277161312901</v>
      </c>
      <c r="I72">
        <v>297.07558324943699</v>
      </c>
      <c r="J72">
        <v>297.13335722410801</v>
      </c>
      <c r="K72">
        <v>297.82027278679402</v>
      </c>
      <c r="L72">
        <v>295.89044021858001</v>
      </c>
      <c r="M72">
        <v>299.80372023809502</v>
      </c>
      <c r="N72">
        <v>0.485578947368421</v>
      </c>
      <c r="O72">
        <v>22950.3627421991</v>
      </c>
      <c r="Q72">
        <v>299.14999999999998</v>
      </c>
      <c r="R72">
        <f t="shared" si="7"/>
        <v>26</v>
      </c>
      <c r="S72">
        <f t="shared" si="8"/>
        <v>24.372771613129032</v>
      </c>
      <c r="T72">
        <f t="shared" si="9"/>
        <v>23.925583249437011</v>
      </c>
      <c r="U72">
        <f t="shared" si="10"/>
        <v>23.983357224108033</v>
      </c>
      <c r="V72">
        <f t="shared" si="11"/>
        <v>24.670272786794044</v>
      </c>
      <c r="W72">
        <f t="shared" si="12"/>
        <v>22.740440218580034</v>
      </c>
      <c r="Y72">
        <v>17.5</v>
      </c>
    </row>
    <row r="73" spans="1:25" x14ac:dyDescent="0.25">
      <c r="A73">
        <v>0</v>
      </c>
      <c r="B73">
        <v>0.11698080730035799</v>
      </c>
      <c r="C73">
        <v>0.115201563749438</v>
      </c>
      <c r="D73">
        <v>0.117938576490764</v>
      </c>
      <c r="E73">
        <v>9.8174058292422997E-2</v>
      </c>
      <c r="F73">
        <v>0.1</v>
      </c>
      <c r="G73">
        <v>4.5517990542807496</v>
      </c>
      <c r="H73">
        <v>297.43293557479598</v>
      </c>
      <c r="I73">
        <v>296.98953664977302</v>
      </c>
      <c r="J73">
        <v>297.06085207174402</v>
      </c>
      <c r="K73">
        <v>297.75841295348101</v>
      </c>
      <c r="L73">
        <v>295.81995692675798</v>
      </c>
      <c r="M73">
        <v>299.51077008928502</v>
      </c>
      <c r="N73">
        <v>0.49952631578947299</v>
      </c>
      <c r="O73">
        <v>23317.814168391</v>
      </c>
      <c r="Q73">
        <v>299.14999999999998</v>
      </c>
      <c r="R73">
        <f t="shared" si="7"/>
        <v>26</v>
      </c>
      <c r="S73">
        <f t="shared" si="8"/>
        <v>24.282935574795999</v>
      </c>
      <c r="T73">
        <f t="shared" si="9"/>
        <v>23.839536649773038</v>
      </c>
      <c r="U73">
        <f t="shared" si="10"/>
        <v>23.910852071744046</v>
      </c>
      <c r="V73">
        <f t="shared" si="11"/>
        <v>24.608412953481036</v>
      </c>
      <c r="W73">
        <f t="shared" si="12"/>
        <v>22.669956926758005</v>
      </c>
      <c r="Y73">
        <v>17.75</v>
      </c>
    </row>
    <row r="74" spans="1:25" x14ac:dyDescent="0.25">
      <c r="A74">
        <v>0</v>
      </c>
      <c r="B74">
        <v>0.114887372839396</v>
      </c>
      <c r="C74">
        <v>0.113222417539971</v>
      </c>
      <c r="D74">
        <v>0.115796645855174</v>
      </c>
      <c r="E74">
        <v>9.6492312831196997E-2</v>
      </c>
      <c r="F74">
        <v>0.1</v>
      </c>
      <c r="G74">
        <v>4.5192587156037298</v>
      </c>
      <c r="H74">
        <v>297.33850679775298</v>
      </c>
      <c r="I74">
        <v>296.90099363932399</v>
      </c>
      <c r="J74">
        <v>296.98293734283197</v>
      </c>
      <c r="K74">
        <v>297.67715554867698</v>
      </c>
      <c r="L74">
        <v>295.74591707496398</v>
      </c>
      <c r="M74">
        <v>299.25</v>
      </c>
      <c r="N74">
        <v>0.51</v>
      </c>
      <c r="O74">
        <v>22839.222931397999</v>
      </c>
      <c r="Q74">
        <v>299.14999999999998</v>
      </c>
      <c r="R74">
        <f t="shared" si="7"/>
        <v>26</v>
      </c>
      <c r="S74">
        <f t="shared" si="8"/>
        <v>24.188506797753007</v>
      </c>
      <c r="T74">
        <f t="shared" si="9"/>
        <v>23.750993639324008</v>
      </c>
      <c r="U74">
        <f t="shared" si="10"/>
        <v>23.832937342831997</v>
      </c>
      <c r="V74">
        <f t="shared" si="11"/>
        <v>24.527155548677001</v>
      </c>
      <c r="W74">
        <f t="shared" si="12"/>
        <v>22.595917074964007</v>
      </c>
      <c r="Y74">
        <v>18</v>
      </c>
    </row>
    <row r="75" spans="1:25" x14ac:dyDescent="0.25">
      <c r="A75">
        <v>0</v>
      </c>
      <c r="B75">
        <v>0.11496189873735201</v>
      </c>
      <c r="C75">
        <v>0.113210425544657</v>
      </c>
      <c r="D75">
        <v>0.115798279875047</v>
      </c>
      <c r="E75">
        <v>9.6421606532993698E-2</v>
      </c>
      <c r="F75">
        <v>0.1</v>
      </c>
      <c r="G75">
        <v>4.5481033476682704</v>
      </c>
      <c r="H75">
        <v>297.2300298495</v>
      </c>
      <c r="I75">
        <v>296.79703774976798</v>
      </c>
      <c r="J75">
        <v>296.88897741748798</v>
      </c>
      <c r="K75">
        <v>297.56466656192703</v>
      </c>
      <c r="L75">
        <v>295.65072135530602</v>
      </c>
      <c r="M75">
        <v>299.16121323529399</v>
      </c>
      <c r="N75">
        <v>0.512223684210526</v>
      </c>
      <c r="O75">
        <v>22758.440306619799</v>
      </c>
      <c r="Q75">
        <v>299.14999999999998</v>
      </c>
      <c r="R75">
        <f t="shared" si="7"/>
        <v>26</v>
      </c>
      <c r="S75">
        <f t="shared" si="8"/>
        <v>24.080029849500022</v>
      </c>
      <c r="T75">
        <f t="shared" si="9"/>
        <v>23.647037749768003</v>
      </c>
      <c r="U75">
        <f t="shared" si="10"/>
        <v>23.738977417488002</v>
      </c>
      <c r="V75">
        <f t="shared" si="11"/>
        <v>24.414666561927049</v>
      </c>
      <c r="W75">
        <f t="shared" si="12"/>
        <v>22.500721355306041</v>
      </c>
      <c r="Y75">
        <v>18.25</v>
      </c>
    </row>
    <row r="76" spans="1:25" x14ac:dyDescent="0.25">
      <c r="A76">
        <v>0</v>
      </c>
      <c r="B76">
        <v>0.118524340289935</v>
      </c>
      <c r="C76">
        <v>0.11637834547252</v>
      </c>
      <c r="D76">
        <v>0.119196215606309</v>
      </c>
      <c r="E76">
        <v>9.92404034506498E-2</v>
      </c>
      <c r="F76">
        <v>0.1</v>
      </c>
      <c r="G76">
        <v>4.54463531987283</v>
      </c>
      <c r="H76">
        <v>297.118739537887</v>
      </c>
      <c r="I76">
        <v>296.69087500727301</v>
      </c>
      <c r="J76">
        <v>296.789894963086</v>
      </c>
      <c r="K76">
        <v>297.44184587093901</v>
      </c>
      <c r="L76">
        <v>295.56302521242401</v>
      </c>
      <c r="M76">
        <v>299.24656862745098</v>
      </c>
      <c r="N76">
        <v>0.50908771929824503</v>
      </c>
      <c r="O76">
        <v>22556.715375317701</v>
      </c>
      <c r="Q76">
        <v>299.14999999999998</v>
      </c>
      <c r="R76">
        <f t="shared" si="7"/>
        <v>26</v>
      </c>
      <c r="S76">
        <f t="shared" si="8"/>
        <v>23.968739537887018</v>
      </c>
      <c r="T76">
        <f t="shared" si="9"/>
        <v>23.54087500727303</v>
      </c>
      <c r="U76">
        <f t="shared" si="10"/>
        <v>23.639894963086022</v>
      </c>
      <c r="V76">
        <f t="shared" si="11"/>
        <v>24.291845870939028</v>
      </c>
      <c r="W76">
        <f t="shared" si="12"/>
        <v>22.413025212424031</v>
      </c>
      <c r="Y76">
        <v>18.5</v>
      </c>
    </row>
    <row r="77" spans="1:25" x14ac:dyDescent="0.25">
      <c r="A77">
        <v>0</v>
      </c>
      <c r="B77">
        <v>0.11571230590454799</v>
      </c>
      <c r="C77">
        <v>0.113458011333915</v>
      </c>
      <c r="D77">
        <v>0.11604468428114199</v>
      </c>
      <c r="E77">
        <v>9.7385964311984693E-2</v>
      </c>
      <c r="F77">
        <v>0.1</v>
      </c>
      <c r="G77">
        <v>4.5476765065360798</v>
      </c>
      <c r="H77">
        <v>297.01227878049798</v>
      </c>
      <c r="I77">
        <v>296.59023437581698</v>
      </c>
      <c r="J77">
        <v>296.69437646290402</v>
      </c>
      <c r="K77">
        <v>297.31708795852302</v>
      </c>
      <c r="L77">
        <v>295.46978416181599</v>
      </c>
      <c r="M77">
        <v>299.33363970588198</v>
      </c>
      <c r="N77">
        <v>0.506407894736842</v>
      </c>
      <c r="O77">
        <v>22443.787965810701</v>
      </c>
      <c r="Q77">
        <v>299.14999999999998</v>
      </c>
      <c r="R77">
        <f t="shared" si="7"/>
        <v>26</v>
      </c>
      <c r="S77">
        <f t="shared" si="8"/>
        <v>23.862278780498002</v>
      </c>
      <c r="T77">
        <f t="shared" si="9"/>
        <v>23.440234375816999</v>
      </c>
      <c r="U77">
        <f t="shared" si="10"/>
        <v>23.54437646290404</v>
      </c>
      <c r="V77">
        <f t="shared" si="11"/>
        <v>24.167087958523041</v>
      </c>
      <c r="W77">
        <f t="shared" si="12"/>
        <v>22.319784161816017</v>
      </c>
      <c r="Y77">
        <v>18.75</v>
      </c>
    </row>
    <row r="78" spans="1:25" x14ac:dyDescent="0.25">
      <c r="A78">
        <v>0</v>
      </c>
      <c r="B78">
        <v>0.115668866004666</v>
      </c>
      <c r="C78">
        <v>0.11333027044850599</v>
      </c>
      <c r="D78">
        <v>0.11589237872014201</v>
      </c>
      <c r="E78">
        <v>9.7543244189669295E-2</v>
      </c>
      <c r="F78">
        <v>0.1</v>
      </c>
      <c r="G78">
        <v>4.5389413762617004</v>
      </c>
      <c r="H78">
        <v>296.89582737959199</v>
      </c>
      <c r="I78">
        <v>296.47910477609599</v>
      </c>
      <c r="J78">
        <v>296.584400524854</v>
      </c>
      <c r="K78">
        <v>297.17674127796499</v>
      </c>
      <c r="L78">
        <v>295.37232358770598</v>
      </c>
      <c r="M78">
        <v>299.25</v>
      </c>
      <c r="N78">
        <v>0.51</v>
      </c>
      <c r="O78">
        <v>22210.257735459501</v>
      </c>
      <c r="Q78">
        <v>299.14999999999998</v>
      </c>
      <c r="R78">
        <f t="shared" si="7"/>
        <v>26</v>
      </c>
      <c r="S78">
        <f t="shared" si="8"/>
        <v>23.745827379592015</v>
      </c>
      <c r="T78">
        <f t="shared" si="9"/>
        <v>23.329104776096017</v>
      </c>
      <c r="U78">
        <f t="shared" si="10"/>
        <v>23.434400524854027</v>
      </c>
      <c r="V78">
        <f t="shared" si="11"/>
        <v>24.026741277965016</v>
      </c>
      <c r="W78">
        <f t="shared" si="12"/>
        <v>22.222323587706001</v>
      </c>
      <c r="Y78">
        <v>19</v>
      </c>
    </row>
    <row r="79" spans="1:25" x14ac:dyDescent="0.25">
      <c r="A79">
        <v>0</v>
      </c>
      <c r="B79">
        <v>1.6516869686734499E-2</v>
      </c>
      <c r="C79">
        <v>1.5684818981737701E-2</v>
      </c>
      <c r="D79">
        <v>1.65168696867346E-2</v>
      </c>
      <c r="E79">
        <v>1.2199303652465601E-2</v>
      </c>
      <c r="F79">
        <v>0.1</v>
      </c>
      <c r="G79">
        <v>0.13926963130770001</v>
      </c>
      <c r="H79">
        <v>297.96045286498003</v>
      </c>
      <c r="I79">
        <v>297.71211390152399</v>
      </c>
      <c r="J79">
        <v>297.61599688475502</v>
      </c>
      <c r="K79">
        <v>298.41816845501</v>
      </c>
      <c r="L79">
        <v>297.28211175532999</v>
      </c>
      <c r="M79">
        <v>298.76767077798797</v>
      </c>
      <c r="N79">
        <v>0.53167187500000002</v>
      </c>
      <c r="O79">
        <v>1541.9997722144001</v>
      </c>
      <c r="Q79">
        <v>299.14999999999998</v>
      </c>
      <c r="R79">
        <f t="shared" si="7"/>
        <v>26</v>
      </c>
      <c r="S79">
        <f t="shared" si="8"/>
        <v>24.81045286498005</v>
      </c>
      <c r="T79">
        <f t="shared" si="9"/>
        <v>24.562113901524015</v>
      </c>
      <c r="U79">
        <f t="shared" si="10"/>
        <v>24.465996884755043</v>
      </c>
      <c r="V79">
        <f t="shared" si="11"/>
        <v>25.268168455010027</v>
      </c>
      <c r="W79">
        <f t="shared" si="12"/>
        <v>24.132111755330016</v>
      </c>
      <c r="Y79">
        <v>19.25</v>
      </c>
    </row>
    <row r="80" spans="1:25" x14ac:dyDescent="0.25">
      <c r="A80">
        <v>0</v>
      </c>
      <c r="B80">
        <v>1.6263886281801199E-2</v>
      </c>
      <c r="C80">
        <v>1.5444579820986201E-2</v>
      </c>
      <c r="D80">
        <v>1.6263886281801199E-2</v>
      </c>
      <c r="E80">
        <v>1.20124509718781E-2</v>
      </c>
      <c r="F80">
        <v>0.1</v>
      </c>
      <c r="G80">
        <v>0.13713619411289901</v>
      </c>
      <c r="H80">
        <v>298.12192288837798</v>
      </c>
      <c r="I80">
        <v>297.87744494746698</v>
      </c>
      <c r="J80">
        <v>297.77996409943</v>
      </c>
      <c r="K80">
        <v>298.55300683417403</v>
      </c>
      <c r="L80">
        <v>297.47791764859801</v>
      </c>
      <c r="M80">
        <v>297.95692599620401</v>
      </c>
      <c r="N80">
        <v>0.56995833333333301</v>
      </c>
      <c r="O80">
        <v>1539.3606731510699</v>
      </c>
      <c r="Q80">
        <v>299.14999999999998</v>
      </c>
      <c r="R80">
        <f t="shared" si="7"/>
        <v>26</v>
      </c>
      <c r="S80">
        <f t="shared" si="8"/>
        <v>24.971922888378003</v>
      </c>
      <c r="T80">
        <f t="shared" si="9"/>
        <v>24.727444947467006</v>
      </c>
      <c r="U80">
        <f t="shared" si="10"/>
        <v>24.629964099430026</v>
      </c>
      <c r="V80">
        <f t="shared" si="11"/>
        <v>25.40300683417405</v>
      </c>
      <c r="W80">
        <f t="shared" si="12"/>
        <v>24.327917648598032</v>
      </c>
      <c r="Y80">
        <v>19.5</v>
      </c>
    </row>
    <row r="81" spans="1:25" x14ac:dyDescent="0.25">
      <c r="A81">
        <v>0</v>
      </c>
      <c r="B81">
        <v>1.6257179985247901E-2</v>
      </c>
      <c r="C81">
        <v>1.5438211359560401E-2</v>
      </c>
      <c r="D81">
        <v>1.6257179985247901E-2</v>
      </c>
      <c r="E81">
        <v>1.2007497724102501E-2</v>
      </c>
      <c r="F81">
        <v>0.1</v>
      </c>
      <c r="G81">
        <v>0.13707973782553801</v>
      </c>
      <c r="H81">
        <v>298.153385497751</v>
      </c>
      <c r="I81">
        <v>297.907799535565</v>
      </c>
      <c r="J81">
        <v>297.81593081595702</v>
      </c>
      <c r="K81">
        <v>298.567495560439</v>
      </c>
      <c r="L81">
        <v>297.52629717805002</v>
      </c>
      <c r="M81">
        <v>297.09271821631802</v>
      </c>
      <c r="N81">
        <v>0.61076562499999998</v>
      </c>
      <c r="O81">
        <v>1539.32141304269</v>
      </c>
      <c r="Q81">
        <v>299.14999999999998</v>
      </c>
      <c r="R81">
        <f t="shared" si="7"/>
        <v>26</v>
      </c>
      <c r="S81">
        <f t="shared" si="8"/>
        <v>25.003385497751026</v>
      </c>
      <c r="T81">
        <f t="shared" si="9"/>
        <v>24.757799535565027</v>
      </c>
      <c r="U81">
        <f t="shared" si="10"/>
        <v>24.66593081595704</v>
      </c>
      <c r="V81">
        <f t="shared" si="11"/>
        <v>25.417495560439022</v>
      </c>
      <c r="W81">
        <f t="shared" si="12"/>
        <v>24.376297178050038</v>
      </c>
      <c r="Y81">
        <v>19.75</v>
      </c>
    </row>
    <row r="82" spans="1:25" x14ac:dyDescent="0.25">
      <c r="A82">
        <v>0</v>
      </c>
      <c r="B82">
        <v>1.6254648715879502E-2</v>
      </c>
      <c r="C82">
        <v>1.54358076049391E-2</v>
      </c>
      <c r="D82">
        <v>1.6254648715879502E-2</v>
      </c>
      <c r="E82">
        <v>1.2005628137174901E-2</v>
      </c>
      <c r="F82">
        <v>0.1</v>
      </c>
      <c r="G82">
        <v>0.137058486292125</v>
      </c>
      <c r="H82">
        <v>298.15506783778699</v>
      </c>
      <c r="I82">
        <v>297.92078821166803</v>
      </c>
      <c r="J82">
        <v>297.81849243375899</v>
      </c>
      <c r="K82">
        <v>298.55947219989702</v>
      </c>
      <c r="L82">
        <v>297.54374423482602</v>
      </c>
      <c r="M82">
        <v>296.45</v>
      </c>
      <c r="N82">
        <v>0.64</v>
      </c>
      <c r="O82">
        <v>1539.2739490208201</v>
      </c>
      <c r="Q82">
        <v>299.14999999999998</v>
      </c>
      <c r="R82">
        <f t="shared" si="7"/>
        <v>30</v>
      </c>
      <c r="S82">
        <f t="shared" si="8"/>
        <v>25.00506783778701</v>
      </c>
      <c r="T82">
        <f t="shared" si="9"/>
        <v>24.770788211668048</v>
      </c>
      <c r="U82">
        <f t="shared" si="10"/>
        <v>24.668492433759013</v>
      </c>
      <c r="V82">
        <f t="shared" si="11"/>
        <v>25.409472199897039</v>
      </c>
      <c r="W82">
        <f t="shared" si="12"/>
        <v>24.393744234826045</v>
      </c>
      <c r="Y82">
        <v>20</v>
      </c>
    </row>
    <row r="83" spans="1:25" x14ac:dyDescent="0.25">
      <c r="A83">
        <v>0</v>
      </c>
      <c r="B83" s="1">
        <v>9.7872340187921304E-5</v>
      </c>
      <c r="C83" s="1">
        <v>9.2941941680353503E-5</v>
      </c>
      <c r="D83" s="1">
        <v>9.7872340187921304E-5</v>
      </c>
      <c r="E83" s="1">
        <v>7.2288176862497097E-5</v>
      </c>
      <c r="F83">
        <v>0.1</v>
      </c>
      <c r="G83">
        <v>8.2524534132472202E-4</v>
      </c>
      <c r="H83">
        <v>298.21376920172298</v>
      </c>
      <c r="I83">
        <v>298.00230074794501</v>
      </c>
      <c r="J83">
        <v>297.89442240656098</v>
      </c>
      <c r="K83">
        <v>298.61381579583298</v>
      </c>
      <c r="L83">
        <v>297.62727432990403</v>
      </c>
      <c r="M83">
        <v>296.206754032258</v>
      </c>
      <c r="N83">
        <v>0.64981997282608694</v>
      </c>
      <c r="O83" s="1">
        <v>-4.6804340935369202E-8</v>
      </c>
      <c r="Q83">
        <v>299.14999999999998</v>
      </c>
      <c r="R83">
        <f t="shared" si="7"/>
        <v>30</v>
      </c>
      <c r="S83">
        <f t="shared" si="8"/>
        <v>25.063769201723005</v>
      </c>
      <c r="T83">
        <f t="shared" si="9"/>
        <v>24.852300747945037</v>
      </c>
      <c r="U83">
        <f t="shared" si="10"/>
        <v>24.744422406561</v>
      </c>
      <c r="V83">
        <f t="shared" si="11"/>
        <v>25.463815795833</v>
      </c>
      <c r="W83">
        <f t="shared" si="12"/>
        <v>24.477274329904048</v>
      </c>
      <c r="Y83">
        <v>20.25</v>
      </c>
    </row>
    <row r="84" spans="1:25" x14ac:dyDescent="0.25">
      <c r="A84">
        <v>0</v>
      </c>
      <c r="B84" s="1">
        <v>9.7662952248700507E-5</v>
      </c>
      <c r="C84" s="1">
        <v>9.27431018283763E-5</v>
      </c>
      <c r="D84" s="1">
        <v>9.7662952248700696E-5</v>
      </c>
      <c r="E84" s="1">
        <v>7.2133523644292595E-5</v>
      </c>
      <c r="F84">
        <v>0.1</v>
      </c>
      <c r="G84">
        <v>8.2347919864533901E-4</v>
      </c>
      <c r="H84">
        <v>298.21939664708401</v>
      </c>
      <c r="I84">
        <v>298.01151838976602</v>
      </c>
      <c r="J84">
        <v>297.903685951309</v>
      </c>
      <c r="K84">
        <v>298.60652846416798</v>
      </c>
      <c r="L84">
        <v>297.64407416398802</v>
      </c>
      <c r="M84">
        <v>296.2</v>
      </c>
      <c r="N84">
        <v>0.64910326086956505</v>
      </c>
      <c r="O84" s="1">
        <v>-4.6604219384807603E-8</v>
      </c>
      <c r="Q84">
        <v>299.14999999999998</v>
      </c>
      <c r="R84">
        <f t="shared" si="7"/>
        <v>30</v>
      </c>
      <c r="S84">
        <f t="shared" si="8"/>
        <v>25.069396647084034</v>
      </c>
      <c r="T84">
        <f t="shared" si="9"/>
        <v>24.861518389766047</v>
      </c>
      <c r="U84">
        <f t="shared" si="10"/>
        <v>24.753685951309023</v>
      </c>
      <c r="V84">
        <f t="shared" si="11"/>
        <v>25.456528464168002</v>
      </c>
      <c r="W84">
        <f t="shared" si="12"/>
        <v>24.494074163988046</v>
      </c>
      <c r="Y84">
        <v>20.5</v>
      </c>
    </row>
    <row r="85" spans="1:25" x14ac:dyDescent="0.25">
      <c r="A85">
        <v>0</v>
      </c>
      <c r="B85" s="1">
        <v>9.74619005202737E-5</v>
      </c>
      <c r="C85" s="1">
        <v>9.2552178243814E-5</v>
      </c>
      <c r="D85" s="1">
        <v>9.74619005202737E-5</v>
      </c>
      <c r="E85" s="1">
        <v>7.1985027522966405E-5</v>
      </c>
      <c r="F85">
        <v>0.1</v>
      </c>
      <c r="G85">
        <v>8.2178340721957802E-4</v>
      </c>
      <c r="H85">
        <v>298.217834709996</v>
      </c>
      <c r="I85">
        <v>298.01213090286001</v>
      </c>
      <c r="J85">
        <v>297.90335239446</v>
      </c>
      <c r="K85">
        <v>298.592169344556</v>
      </c>
      <c r="L85">
        <v>297.65136627501602</v>
      </c>
      <c r="M85">
        <v>296.19324596774101</v>
      </c>
      <c r="N85">
        <v>0.64883491847826003</v>
      </c>
      <c r="O85" s="1">
        <v>-4.6412472801707801E-8</v>
      </c>
      <c r="Q85">
        <v>299.14999999999998</v>
      </c>
      <c r="R85">
        <f t="shared" si="7"/>
        <v>30</v>
      </c>
      <c r="S85">
        <f t="shared" si="8"/>
        <v>25.067834709996021</v>
      </c>
      <c r="T85">
        <f t="shared" si="9"/>
        <v>24.862130902860031</v>
      </c>
      <c r="U85">
        <f t="shared" si="10"/>
        <v>24.753352394460023</v>
      </c>
      <c r="V85">
        <f t="shared" si="11"/>
        <v>25.442169344556021</v>
      </c>
      <c r="W85">
        <f t="shared" si="12"/>
        <v>24.501366275016039</v>
      </c>
      <c r="Y85">
        <v>20.75</v>
      </c>
    </row>
    <row r="86" spans="1:25" x14ac:dyDescent="0.25">
      <c r="A86">
        <v>0</v>
      </c>
      <c r="B86" s="1">
        <v>9.7100334555626694E-5</v>
      </c>
      <c r="C86" s="1">
        <v>9.2208826457851898E-5</v>
      </c>
      <c r="D86" s="1">
        <v>9.7100334555626802E-5</v>
      </c>
      <c r="E86" s="1">
        <v>7.17179761338848E-5</v>
      </c>
      <c r="F86">
        <v>0.1</v>
      </c>
      <c r="G86">
        <v>8.1873424257907803E-4</v>
      </c>
      <c r="H86">
        <v>298.21153110248002</v>
      </c>
      <c r="I86">
        <v>298.00927407155899</v>
      </c>
      <c r="J86">
        <v>297.89961346989202</v>
      </c>
      <c r="K86">
        <v>298.57535819939102</v>
      </c>
      <c r="L86">
        <v>297.65531304913998</v>
      </c>
      <c r="M86">
        <v>295.95</v>
      </c>
      <c r="N86">
        <v>0.66</v>
      </c>
      <c r="O86" s="1">
        <v>-4.6068691894293903E-8</v>
      </c>
      <c r="Q86">
        <v>299.14999999999998</v>
      </c>
      <c r="R86">
        <f t="shared" si="7"/>
        <v>30</v>
      </c>
      <c r="S86">
        <f t="shared" si="8"/>
        <v>25.061531102480046</v>
      </c>
      <c r="T86">
        <f t="shared" si="9"/>
        <v>24.859274071559014</v>
      </c>
      <c r="U86">
        <f t="shared" si="10"/>
        <v>24.74961346989204</v>
      </c>
      <c r="V86">
        <f t="shared" si="11"/>
        <v>25.425358199391042</v>
      </c>
      <c r="W86">
        <f t="shared" si="12"/>
        <v>24.50531304914</v>
      </c>
      <c r="Y86">
        <v>21</v>
      </c>
    </row>
    <row r="87" spans="1:25" x14ac:dyDescent="0.25">
      <c r="A87">
        <v>0</v>
      </c>
      <c r="B87" s="1">
        <v>9.7059831744160098E-5</v>
      </c>
      <c r="C87" s="1">
        <v>9.2170364008358998E-5</v>
      </c>
      <c r="D87" s="1">
        <v>9.7059831744160098E-5</v>
      </c>
      <c r="E87" s="1">
        <v>7.1688060895390302E-5</v>
      </c>
      <c r="F87">
        <v>0.1</v>
      </c>
      <c r="G87">
        <v>8.1839228518983305E-4</v>
      </c>
      <c r="H87">
        <v>298.19479871155499</v>
      </c>
      <c r="I87">
        <v>298.00318521246999</v>
      </c>
      <c r="J87">
        <v>297.88975117306001</v>
      </c>
      <c r="K87">
        <v>298.554477038757</v>
      </c>
      <c r="L87">
        <v>297.65517207137299</v>
      </c>
      <c r="M87">
        <v>295.120365423387</v>
      </c>
      <c r="N87">
        <v>0.69253226902173903</v>
      </c>
      <c r="O87" s="1">
        <v>-4.6030217285731598E-8</v>
      </c>
      <c r="Q87">
        <v>299.14999999999998</v>
      </c>
      <c r="R87">
        <f t="shared" si="7"/>
        <v>30</v>
      </c>
      <c r="S87">
        <f t="shared" si="8"/>
        <v>25.044798711555018</v>
      </c>
      <c r="T87">
        <f t="shared" si="9"/>
        <v>24.853185212470009</v>
      </c>
      <c r="U87">
        <f t="shared" si="10"/>
        <v>24.739751173060029</v>
      </c>
      <c r="V87">
        <f t="shared" si="11"/>
        <v>25.404477038757022</v>
      </c>
      <c r="W87">
        <f t="shared" si="12"/>
        <v>24.505172071373011</v>
      </c>
      <c r="Y87">
        <v>21.25</v>
      </c>
    </row>
    <row r="88" spans="1:25" x14ac:dyDescent="0.25">
      <c r="A88">
        <v>0</v>
      </c>
      <c r="B88" s="1">
        <v>9.7897770127254504E-5</v>
      </c>
      <c r="C88" s="1">
        <v>9.2966090565866903E-5</v>
      </c>
      <c r="D88" s="1">
        <v>9.7897770127257594E-5</v>
      </c>
      <c r="E88" s="1">
        <v>7.2306959329012302E-5</v>
      </c>
      <c r="F88">
        <v>0.1</v>
      </c>
      <c r="G88">
        <v>8.2545722440953895E-4</v>
      </c>
      <c r="H88">
        <v>298.16563096155801</v>
      </c>
      <c r="I88">
        <v>297.99150481085201</v>
      </c>
      <c r="J88">
        <v>297.86971760110703</v>
      </c>
      <c r="K88">
        <v>298.527024111728</v>
      </c>
      <c r="L88">
        <v>297.64943792371201</v>
      </c>
      <c r="M88">
        <v>293.852963709677</v>
      </c>
      <c r="N88">
        <v>0.73870923913043396</v>
      </c>
      <c r="O88" s="1">
        <v>-4.6828378202234399E-8</v>
      </c>
      <c r="Q88">
        <v>299.14999999999998</v>
      </c>
      <c r="R88">
        <f t="shared" si="7"/>
        <v>30</v>
      </c>
      <c r="S88">
        <f t="shared" si="8"/>
        <v>25.015630961558031</v>
      </c>
      <c r="T88">
        <f t="shared" si="9"/>
        <v>24.84150481085203</v>
      </c>
      <c r="U88">
        <f t="shared" si="10"/>
        <v>24.71971760110705</v>
      </c>
      <c r="V88">
        <f t="shared" si="11"/>
        <v>25.377024111728019</v>
      </c>
      <c r="W88">
        <f t="shared" si="12"/>
        <v>24.499437923712037</v>
      </c>
      <c r="Y88">
        <v>21.5</v>
      </c>
    </row>
    <row r="89" spans="1:25" x14ac:dyDescent="0.25">
      <c r="A89">
        <v>0</v>
      </c>
      <c r="B89" s="1">
        <v>9.6515109374281096E-5</v>
      </c>
      <c r="C89" s="1">
        <v>9.1653082469611596E-5</v>
      </c>
      <c r="D89" s="1">
        <v>9.6515109374281801E-5</v>
      </c>
      <c r="E89" s="1">
        <v>7.1285730809697906E-5</v>
      </c>
      <c r="F89">
        <v>0.1</v>
      </c>
      <c r="G89">
        <v>8.1379848709752596E-4</v>
      </c>
      <c r="H89">
        <v>298.14026444802602</v>
      </c>
      <c r="I89">
        <v>297.96889968692398</v>
      </c>
      <c r="J89">
        <v>297.842446073524</v>
      </c>
      <c r="K89">
        <v>298.49405132400602</v>
      </c>
      <c r="L89">
        <v>297.64150952665301</v>
      </c>
      <c r="M89">
        <v>292.65908014112898</v>
      </c>
      <c r="N89">
        <v>0.78303158967391295</v>
      </c>
      <c r="O89" s="1">
        <v>-4.5514914141013198E-8</v>
      </c>
      <c r="Q89">
        <v>299.14999999999998</v>
      </c>
      <c r="R89">
        <f t="shared" si="7"/>
        <v>30</v>
      </c>
      <c r="S89">
        <f t="shared" si="8"/>
        <v>24.990264448026039</v>
      </c>
      <c r="T89">
        <f t="shared" si="9"/>
        <v>24.818899686923999</v>
      </c>
      <c r="U89">
        <f t="shared" si="10"/>
        <v>24.692446073524025</v>
      </c>
      <c r="V89">
        <f t="shared" si="11"/>
        <v>25.344051324006045</v>
      </c>
      <c r="W89">
        <f t="shared" si="12"/>
        <v>24.491509526653033</v>
      </c>
      <c r="Y89">
        <v>21.75</v>
      </c>
    </row>
    <row r="90" spans="1:25" x14ac:dyDescent="0.25">
      <c r="A90">
        <v>0</v>
      </c>
      <c r="B90" s="1">
        <v>9.5780899533482404E-5</v>
      </c>
      <c r="C90" s="1">
        <v>9.0955859044960599E-5</v>
      </c>
      <c r="D90" s="1">
        <v>9.5780899533485494E-5</v>
      </c>
      <c r="E90" s="1">
        <v>7.0743445923858206E-5</v>
      </c>
      <c r="F90">
        <v>0.1</v>
      </c>
      <c r="G90">
        <v>8.0760744433370298E-4</v>
      </c>
      <c r="H90">
        <v>298.122838219546</v>
      </c>
      <c r="I90">
        <v>297.94612886727299</v>
      </c>
      <c r="J90">
        <v>297.81510339516899</v>
      </c>
      <c r="K90">
        <v>298.45615757923701</v>
      </c>
      <c r="L90">
        <v>297.63282994019499</v>
      </c>
      <c r="M90">
        <v>292.04999999999899</v>
      </c>
      <c r="N90">
        <v>0.81</v>
      </c>
      <c r="O90" s="1">
        <v>-4.48250309987362E-8</v>
      </c>
      <c r="Q90">
        <v>299.14999999999998</v>
      </c>
      <c r="R90">
        <f t="shared" si="7"/>
        <v>30</v>
      </c>
      <c r="S90">
        <f t="shared" si="8"/>
        <v>24.97283821954602</v>
      </c>
      <c r="T90">
        <f t="shared" si="9"/>
        <v>24.796128867273012</v>
      </c>
      <c r="U90">
        <f t="shared" si="10"/>
        <v>24.665103395169012</v>
      </c>
      <c r="V90">
        <f t="shared" si="11"/>
        <v>25.306157579237038</v>
      </c>
      <c r="W90">
        <f t="shared" si="12"/>
        <v>24.482829940195018</v>
      </c>
      <c r="Y90">
        <v>22</v>
      </c>
    </row>
    <row r="91" spans="1:25" x14ac:dyDescent="0.25">
      <c r="A91">
        <v>0</v>
      </c>
      <c r="B91" s="1">
        <v>9.5696202278840298E-5</v>
      </c>
      <c r="C91" s="1">
        <v>9.0875428483209105E-5</v>
      </c>
      <c r="D91" s="1">
        <v>9.5696202278838793E-5</v>
      </c>
      <c r="E91" s="1">
        <v>7.0680888820280106E-5</v>
      </c>
      <c r="F91">
        <v>0.1</v>
      </c>
      <c r="G91">
        <v>8.0689301600304604E-4</v>
      </c>
      <c r="H91">
        <v>298.10147476813302</v>
      </c>
      <c r="I91">
        <v>297.92837089588897</v>
      </c>
      <c r="J91">
        <v>297.79464706745802</v>
      </c>
      <c r="K91">
        <v>298.43674324020498</v>
      </c>
      <c r="L91">
        <v>297.625999582943</v>
      </c>
      <c r="M91">
        <v>291.99515624999998</v>
      </c>
      <c r="N91">
        <v>0.819860491071428</v>
      </c>
      <c r="O91" s="1">
        <v>-4.4745759546783499E-8</v>
      </c>
      <c r="Q91">
        <v>299.14999999999998</v>
      </c>
      <c r="R91">
        <f t="shared" si="7"/>
        <v>30</v>
      </c>
      <c r="S91">
        <f t="shared" si="8"/>
        <v>24.951474768133039</v>
      </c>
      <c r="T91">
        <f t="shared" si="9"/>
        <v>24.778370895888997</v>
      </c>
      <c r="U91">
        <f t="shared" si="10"/>
        <v>24.644647067458038</v>
      </c>
      <c r="V91">
        <f t="shared" si="11"/>
        <v>25.286743240204999</v>
      </c>
      <c r="W91">
        <f t="shared" si="12"/>
        <v>24.475999582943018</v>
      </c>
      <c r="Y91">
        <v>22.25</v>
      </c>
    </row>
    <row r="92" spans="1:25" x14ac:dyDescent="0.25">
      <c r="A92">
        <v>0</v>
      </c>
      <c r="B92" s="1">
        <v>9.4911642588857599E-5</v>
      </c>
      <c r="C92" s="1">
        <v>9.0130391623853998E-5</v>
      </c>
      <c r="D92" s="1">
        <v>9.4911642588861502E-5</v>
      </c>
      <c r="E92" s="1">
        <v>7.0101415707444296E-5</v>
      </c>
      <c r="F92">
        <v>0.1</v>
      </c>
      <c r="G92">
        <v>8.0027750501928405E-4</v>
      </c>
      <c r="H92">
        <v>298.09463354112802</v>
      </c>
      <c r="I92">
        <v>297.91170095166098</v>
      </c>
      <c r="J92">
        <v>297.78011551848198</v>
      </c>
      <c r="K92">
        <v>298.41501672088299</v>
      </c>
      <c r="L92">
        <v>297.62210854614199</v>
      </c>
      <c r="M92">
        <v>292.04999999999899</v>
      </c>
      <c r="N92">
        <v>0.82566964285714295</v>
      </c>
      <c r="O92" s="1">
        <v>-4.40150490866985E-8</v>
      </c>
      <c r="Q92">
        <v>299.14999999999998</v>
      </c>
      <c r="R92">
        <f t="shared" si="7"/>
        <v>30</v>
      </c>
      <c r="S92">
        <f t="shared" si="8"/>
        <v>24.944633541128042</v>
      </c>
      <c r="T92">
        <f t="shared" si="9"/>
        <v>24.761700951660998</v>
      </c>
      <c r="U92">
        <f t="shared" si="10"/>
        <v>24.630115518482</v>
      </c>
      <c r="V92">
        <f t="shared" si="11"/>
        <v>25.265016720883011</v>
      </c>
      <c r="W92">
        <f t="shared" si="12"/>
        <v>24.47210854614201</v>
      </c>
      <c r="Y92">
        <v>22.5</v>
      </c>
    </row>
    <row r="93" spans="1:25" x14ac:dyDescent="0.25">
      <c r="A93">
        <v>0</v>
      </c>
      <c r="B93" s="1">
        <v>8.9162215654129206E-6</v>
      </c>
      <c r="C93" s="1">
        <v>8.4670596733517994E-6</v>
      </c>
      <c r="D93" s="1">
        <v>8.9162215654129206E-6</v>
      </c>
      <c r="E93" s="1">
        <v>6.5854908570513997E-6</v>
      </c>
      <c r="F93">
        <v>0.1</v>
      </c>
      <c r="G93" s="1">
        <v>7.5179932010726306E-5</v>
      </c>
      <c r="H93">
        <v>298.083791868795</v>
      </c>
      <c r="I93">
        <v>297.90233645033999</v>
      </c>
      <c r="J93">
        <v>297.766572718904</v>
      </c>
      <c r="K93">
        <v>298.39406211519599</v>
      </c>
      <c r="L93">
        <v>297.61877473898198</v>
      </c>
      <c r="M93">
        <v>292.10484374999999</v>
      </c>
      <c r="N93">
        <v>0.83114397321428501</v>
      </c>
      <c r="O93" s="1">
        <v>-3.8843989565508698E-10</v>
      </c>
      <c r="Q93">
        <v>299.14999999999998</v>
      </c>
      <c r="R93">
        <f t="shared" si="7"/>
        <v>30</v>
      </c>
      <c r="S93">
        <f t="shared" si="8"/>
        <v>24.933791868795026</v>
      </c>
      <c r="T93">
        <f t="shared" si="9"/>
        <v>24.75233645034001</v>
      </c>
      <c r="U93">
        <f t="shared" si="10"/>
        <v>24.616572718904024</v>
      </c>
      <c r="V93">
        <f t="shared" si="11"/>
        <v>25.244062115196016</v>
      </c>
      <c r="W93">
        <f t="shared" si="12"/>
        <v>24.468774738982006</v>
      </c>
      <c r="Y93">
        <v>22.75</v>
      </c>
    </row>
    <row r="94" spans="1:25" x14ac:dyDescent="0.25">
      <c r="A94">
        <v>0</v>
      </c>
      <c r="B94" s="1">
        <v>3.4809425789209698E-10</v>
      </c>
      <c r="C94" s="1">
        <v>3.3055872736009198E-10</v>
      </c>
      <c r="D94" s="1">
        <v>3.4809425789209698E-10</v>
      </c>
      <c r="E94" s="1">
        <v>2.5710123239118199E-10</v>
      </c>
      <c r="F94">
        <v>0.1</v>
      </c>
      <c r="G94" s="1">
        <v>2.9350664186113702E-9</v>
      </c>
      <c r="H94">
        <v>298.06870589833699</v>
      </c>
      <c r="I94">
        <v>297.89014164578902</v>
      </c>
      <c r="J94">
        <v>297.752985763445</v>
      </c>
      <c r="K94">
        <v>298.37251735032299</v>
      </c>
      <c r="L94">
        <v>297.613957416304</v>
      </c>
      <c r="M94">
        <v>292.04999999999899</v>
      </c>
      <c r="N94">
        <v>0.84</v>
      </c>
      <c r="O94" s="1">
        <v>-5.9204652792704098E-19</v>
      </c>
      <c r="Q94">
        <v>299.14999999999998</v>
      </c>
      <c r="R94">
        <f t="shared" si="7"/>
        <v>30</v>
      </c>
      <c r="S94">
        <f t="shared" si="8"/>
        <v>24.918705898337009</v>
      </c>
      <c r="T94">
        <f t="shared" si="9"/>
        <v>24.740141645789038</v>
      </c>
      <c r="U94">
        <f t="shared" si="10"/>
        <v>24.60298576344502</v>
      </c>
      <c r="V94">
        <f t="shared" si="11"/>
        <v>25.222517350323017</v>
      </c>
      <c r="W94">
        <f t="shared" si="12"/>
        <v>24.463957416304027</v>
      </c>
      <c r="Y94">
        <v>23</v>
      </c>
    </row>
    <row r="95" spans="1:25" x14ac:dyDescent="0.25">
      <c r="A95">
        <v>0</v>
      </c>
      <c r="B95" s="1">
        <v>7.9057519002111096E-6</v>
      </c>
      <c r="C95" s="1">
        <v>7.5074932369855103E-6</v>
      </c>
      <c r="D95" s="1">
        <v>7.9057519002111096E-6</v>
      </c>
      <c r="E95" s="1">
        <v>5.8391614065442897E-6</v>
      </c>
      <c r="F95">
        <v>0.1</v>
      </c>
      <c r="G95" s="1">
        <v>6.6659838488719104E-5</v>
      </c>
      <c r="H95">
        <v>298.052975653408</v>
      </c>
      <c r="I95">
        <v>297.87648859338401</v>
      </c>
      <c r="J95">
        <v>297.73766033377098</v>
      </c>
      <c r="K95">
        <v>298.35054436540298</v>
      </c>
      <c r="L95">
        <v>297.60819211971398</v>
      </c>
      <c r="M95">
        <v>291.89809151785698</v>
      </c>
      <c r="N95">
        <v>0.85459821428571403</v>
      </c>
      <c r="O95" s="1">
        <v>-3.0538555146511899E-10</v>
      </c>
      <c r="Q95">
        <v>299.14999999999998</v>
      </c>
      <c r="R95">
        <f t="shared" si="7"/>
        <v>30</v>
      </c>
      <c r="S95">
        <f t="shared" si="8"/>
        <v>24.902975653408021</v>
      </c>
      <c r="T95">
        <f t="shared" si="9"/>
        <v>24.726488593384033</v>
      </c>
      <c r="U95">
        <f t="shared" si="10"/>
        <v>24.587660333770998</v>
      </c>
      <c r="V95">
        <f t="shared" si="11"/>
        <v>25.200544365403005</v>
      </c>
      <c r="W95">
        <f t="shared" si="12"/>
        <v>24.458192119713999</v>
      </c>
      <c r="Y95">
        <v>23.25</v>
      </c>
    </row>
    <row r="96" spans="1:25" x14ac:dyDescent="0.25">
      <c r="A96">
        <v>0</v>
      </c>
      <c r="B96" s="1">
        <v>9.5048311271051999E-5</v>
      </c>
      <c r="C96" s="1">
        <v>9.02601755102704E-5</v>
      </c>
      <c r="D96" s="1">
        <v>9.5048311270989793E-5</v>
      </c>
      <c r="E96" s="1">
        <v>7.0202358730205104E-5</v>
      </c>
      <c r="F96">
        <v>0.1</v>
      </c>
      <c r="G96">
        <v>8.0142971220329795E-4</v>
      </c>
      <c r="H96">
        <v>298.036806793594</v>
      </c>
      <c r="I96">
        <v>297.856418901815</v>
      </c>
      <c r="J96">
        <v>297.72338422599103</v>
      </c>
      <c r="K96">
        <v>298.32836014811198</v>
      </c>
      <c r="L96">
        <v>297.60106680407199</v>
      </c>
      <c r="M96">
        <v>291.741160714285</v>
      </c>
      <c r="N96">
        <v>0.872142857142857</v>
      </c>
      <c r="O96" s="1">
        <v>-4.41418825007461E-8</v>
      </c>
      <c r="Q96">
        <v>299.14999999999998</v>
      </c>
      <c r="R96">
        <f t="shared" si="7"/>
        <v>30</v>
      </c>
      <c r="S96">
        <f t="shared" si="8"/>
        <v>24.886806793594019</v>
      </c>
      <c r="T96">
        <f t="shared" si="9"/>
        <v>24.706418901815027</v>
      </c>
      <c r="U96">
        <f t="shared" si="10"/>
        <v>24.573384225991049</v>
      </c>
      <c r="V96">
        <f t="shared" si="11"/>
        <v>25.178360148112006</v>
      </c>
      <c r="W96">
        <f t="shared" si="12"/>
        <v>24.451066804072013</v>
      </c>
      <c r="Y96">
        <v>23.5</v>
      </c>
    </row>
    <row r="97" spans="1:25" x14ac:dyDescent="0.25">
      <c r="A97">
        <v>0</v>
      </c>
      <c r="B97" s="1">
        <v>9.7271948652620296E-5</v>
      </c>
      <c r="C97" s="1">
        <v>9.2371795355405804E-5</v>
      </c>
      <c r="D97" s="1">
        <v>9.7271948652314998E-5</v>
      </c>
      <c r="E97" s="1">
        <v>7.18447297209567E-5</v>
      </c>
      <c r="F97">
        <v>0.1</v>
      </c>
      <c r="G97">
        <v>8.2017878866981703E-4</v>
      </c>
      <c r="H97">
        <v>297.99195416565601</v>
      </c>
      <c r="I97">
        <v>297.84647339272101</v>
      </c>
      <c r="J97">
        <v>297.707996644346</v>
      </c>
      <c r="K97">
        <v>298.30396727870601</v>
      </c>
      <c r="L97">
        <v>297.58917851848202</v>
      </c>
      <c r="M97">
        <v>291.58864955357097</v>
      </c>
      <c r="N97">
        <v>0.88861607142857102</v>
      </c>
      <c r="O97" s="1">
        <v>-4.6231399286040998E-8</v>
      </c>
      <c r="Q97">
        <v>299.14999999999998</v>
      </c>
      <c r="R97">
        <f t="shared" si="7"/>
        <v>30</v>
      </c>
      <c r="S97">
        <f t="shared" si="8"/>
        <v>24.841954165656034</v>
      </c>
      <c r="T97">
        <f t="shared" si="9"/>
        <v>24.696473392721032</v>
      </c>
      <c r="U97">
        <f t="shared" si="10"/>
        <v>24.557996644346019</v>
      </c>
      <c r="V97">
        <f t="shared" si="11"/>
        <v>25.153967278706034</v>
      </c>
      <c r="W97">
        <f t="shared" si="12"/>
        <v>24.439178518482038</v>
      </c>
      <c r="Y97">
        <v>23.75</v>
      </c>
    </row>
    <row r="98" spans="1:25" x14ac:dyDescent="0.25">
      <c r="A98">
        <v>0</v>
      </c>
      <c r="B98" s="1">
        <v>9.7100988310009503E-5</v>
      </c>
      <c r="C98" s="1">
        <v>9.2209447278768098E-5</v>
      </c>
      <c r="D98" s="1">
        <v>9.7100988309938406E-5</v>
      </c>
      <c r="E98" s="1">
        <v>7.1718458994614797E-5</v>
      </c>
      <c r="F98">
        <v>0.1</v>
      </c>
      <c r="G98">
        <v>8.1873705363423696E-4</v>
      </c>
      <c r="H98">
        <v>297.97560056991301</v>
      </c>
      <c r="I98">
        <v>297.83009275343397</v>
      </c>
      <c r="J98">
        <v>297.69148214507902</v>
      </c>
      <c r="K98">
        <v>298.26146848805701</v>
      </c>
      <c r="L98">
        <v>297.578513387648</v>
      </c>
      <c r="M98">
        <v>291.45</v>
      </c>
      <c r="N98">
        <v>0.9</v>
      </c>
      <c r="O98" s="1">
        <v>-4.6069008240794602E-8</v>
      </c>
      <c r="Q98">
        <v>299.14999999999998</v>
      </c>
      <c r="R98">
        <f t="shared" si="7"/>
        <v>30</v>
      </c>
      <c r="S98">
        <f t="shared" si="8"/>
        <v>24.825600569913036</v>
      </c>
      <c r="T98">
        <f t="shared" si="9"/>
        <v>24.680092753433996</v>
      </c>
      <c r="U98">
        <f t="shared" si="10"/>
        <v>24.541482145079044</v>
      </c>
      <c r="V98">
        <f t="shared" si="11"/>
        <v>25.111468488057028</v>
      </c>
      <c r="W98">
        <f t="shared" si="12"/>
        <v>24.428513387648024</v>
      </c>
      <c r="Y98">
        <v>24</v>
      </c>
    </row>
    <row r="99" spans="1:25" x14ac:dyDescent="0.25">
      <c r="A99">
        <v>0</v>
      </c>
      <c r="B99" s="1">
        <v>9.7163411670046906E-5</v>
      </c>
      <c r="C99" s="1">
        <v>9.2268726011479998E-5</v>
      </c>
      <c r="D99" s="1">
        <v>9.7163411670046906E-5</v>
      </c>
      <c r="E99" s="1">
        <v>7.1764564675595493E-5</v>
      </c>
      <c r="F99">
        <v>0.1</v>
      </c>
      <c r="G99">
        <v>8.1926318578764902E-4</v>
      </c>
      <c r="H99">
        <v>297.96191432242301</v>
      </c>
      <c r="I99">
        <v>297.81575830924697</v>
      </c>
      <c r="J99">
        <v>297.676453869608</v>
      </c>
      <c r="K99">
        <v>298.23738296029597</v>
      </c>
      <c r="L99">
        <v>297.571712504657</v>
      </c>
      <c r="M99">
        <v>291.32335164835098</v>
      </c>
      <c r="N99">
        <v>0.89882812499999998</v>
      </c>
      <c r="O99" s="1">
        <v>-4.6128236473768202E-8</v>
      </c>
      <c r="Q99">
        <v>299.14999999999998</v>
      </c>
      <c r="R99">
        <f t="shared" si="7"/>
        <v>30</v>
      </c>
      <c r="S99">
        <f t="shared" si="8"/>
        <v>24.811914322423036</v>
      </c>
      <c r="T99">
        <f t="shared" si="9"/>
        <v>24.665758309246996</v>
      </c>
      <c r="U99">
        <f t="shared" si="10"/>
        <v>24.526453869608019</v>
      </c>
      <c r="V99">
        <f t="shared" si="11"/>
        <v>25.087382960295997</v>
      </c>
      <c r="W99">
        <f t="shared" si="12"/>
        <v>24.421712504657023</v>
      </c>
      <c r="Y99">
        <v>24.25</v>
      </c>
    </row>
    <row r="100" spans="1:25" x14ac:dyDescent="0.25">
      <c r="A100">
        <v>0</v>
      </c>
      <c r="B100" s="1">
        <v>9.7208355472372398E-5</v>
      </c>
      <c r="C100" s="1">
        <v>9.2311405733303404E-5</v>
      </c>
      <c r="D100" s="1">
        <v>9.7208355472348099E-5</v>
      </c>
      <c r="E100" s="1">
        <v>7.1797760014783899E-5</v>
      </c>
      <c r="F100">
        <v>0.1</v>
      </c>
      <c r="G100">
        <v>8.1964195063198304E-4</v>
      </c>
      <c r="H100">
        <v>297.94770170003301</v>
      </c>
      <c r="I100">
        <v>297.802669826292</v>
      </c>
      <c r="J100">
        <v>297.662341952421</v>
      </c>
      <c r="K100">
        <v>298.21631070263498</v>
      </c>
      <c r="L100">
        <v>297.566538907157</v>
      </c>
      <c r="M100">
        <v>291.19917582417497</v>
      </c>
      <c r="N100">
        <v>0.88687499999999997</v>
      </c>
      <c r="O100" s="1">
        <v>-4.6170898693709698E-8</v>
      </c>
      <c r="Q100">
        <v>299.14999999999998</v>
      </c>
      <c r="R100">
        <f t="shared" si="7"/>
        <v>30</v>
      </c>
      <c r="S100">
        <f t="shared" si="8"/>
        <v>24.797701700033031</v>
      </c>
      <c r="T100">
        <f t="shared" si="9"/>
        <v>24.652669826292026</v>
      </c>
      <c r="U100">
        <f t="shared" si="10"/>
        <v>24.512341952421025</v>
      </c>
      <c r="V100">
        <f t="shared" si="11"/>
        <v>25.066310702635008</v>
      </c>
      <c r="W100">
        <f t="shared" si="12"/>
        <v>24.416538907157019</v>
      </c>
      <c r="Y100">
        <v>24.5</v>
      </c>
    </row>
    <row r="101" spans="1:25" x14ac:dyDescent="0.25">
      <c r="A101">
        <v>0</v>
      </c>
      <c r="B101" s="1">
        <v>9.7190453897830504E-5</v>
      </c>
      <c r="C101" s="1">
        <v>9.2294405965112202E-5</v>
      </c>
      <c r="D101" s="1">
        <v>9.71904538978319E-5</v>
      </c>
      <c r="E101" s="1">
        <v>7.1784537972863295E-5</v>
      </c>
      <c r="F101">
        <v>0.1</v>
      </c>
      <c r="G101">
        <v>8.1949083175635604E-4</v>
      </c>
      <c r="H101">
        <v>297.93219881406702</v>
      </c>
      <c r="I101">
        <v>297.78972113821999</v>
      </c>
      <c r="J101">
        <v>297.64816695001099</v>
      </c>
      <c r="K101">
        <v>298.19662139636398</v>
      </c>
      <c r="L101">
        <v>297.56162405213701</v>
      </c>
      <c r="M101">
        <v>291.07541208791201</v>
      </c>
      <c r="N101">
        <v>0.87398437500000004</v>
      </c>
      <c r="O101" s="1">
        <v>-4.6153875038237503E-8</v>
      </c>
      <c r="Q101">
        <v>299.14999999999998</v>
      </c>
      <c r="R101">
        <f t="shared" si="7"/>
        <v>30</v>
      </c>
      <c r="S101">
        <f t="shared" si="8"/>
        <v>24.782198814067044</v>
      </c>
      <c r="T101">
        <f t="shared" si="9"/>
        <v>24.639721138220011</v>
      </c>
      <c r="U101">
        <f t="shared" si="10"/>
        <v>24.498166950011012</v>
      </c>
      <c r="V101">
        <f t="shared" si="11"/>
        <v>25.046621396364003</v>
      </c>
      <c r="W101">
        <f t="shared" si="12"/>
        <v>24.411624052137029</v>
      </c>
      <c r="Y101">
        <v>24.75</v>
      </c>
    </row>
    <row r="102" spans="1:25" x14ac:dyDescent="0.25">
      <c r="A102">
        <v>0</v>
      </c>
      <c r="B102" s="1">
        <v>9.7100688264022302E-5</v>
      </c>
      <c r="C102" s="1">
        <v>9.22091623479074E-5</v>
      </c>
      <c r="D102" s="1">
        <v>9.7100688264026394E-5</v>
      </c>
      <c r="E102" s="1">
        <v>7.1718237381701298E-5</v>
      </c>
      <c r="F102">
        <v>0.1</v>
      </c>
      <c r="G102">
        <v>8.1873378586427403E-4</v>
      </c>
      <c r="H102">
        <v>297.91442631953902</v>
      </c>
      <c r="I102">
        <v>297.77683421551001</v>
      </c>
      <c r="J102">
        <v>297.63383230491399</v>
      </c>
      <c r="K102">
        <v>298.17863871698302</v>
      </c>
      <c r="L102">
        <v>297.55681664408002</v>
      </c>
      <c r="M102">
        <v>290.95</v>
      </c>
      <c r="N102">
        <v>0.87</v>
      </c>
      <c r="O102" s="1">
        <v>-4.6068640497279701E-8</v>
      </c>
      <c r="Q102">
        <v>299.14999999999998</v>
      </c>
      <c r="R102">
        <f t="shared" si="7"/>
        <v>30</v>
      </c>
      <c r="S102">
        <f t="shared" si="8"/>
        <v>24.764426319539041</v>
      </c>
      <c r="T102">
        <f t="shared" si="9"/>
        <v>24.62683421551003</v>
      </c>
      <c r="U102">
        <f t="shared" si="10"/>
        <v>24.483832304914017</v>
      </c>
      <c r="V102">
        <f t="shared" si="11"/>
        <v>25.028638716983039</v>
      </c>
      <c r="W102">
        <f t="shared" si="12"/>
        <v>24.406816644080038</v>
      </c>
      <c r="Y102">
        <v>25</v>
      </c>
    </row>
    <row r="103" spans="1:25" x14ac:dyDescent="0.25">
      <c r="A103">
        <v>0</v>
      </c>
      <c r="B103" s="1">
        <v>9.7043547603932494E-5</v>
      </c>
      <c r="C103" s="1">
        <v>9.2154900194901205E-5</v>
      </c>
      <c r="D103" s="1">
        <v>9.70435476039324E-5</v>
      </c>
      <c r="E103" s="1">
        <v>7.1676033484923204E-5</v>
      </c>
      <c r="F103">
        <v>0.1</v>
      </c>
      <c r="G103">
        <v>8.1825184338647295E-4</v>
      </c>
      <c r="H103">
        <v>297.89412171970099</v>
      </c>
      <c r="I103">
        <v>297.76393975713597</v>
      </c>
      <c r="J103">
        <v>297.61926084712297</v>
      </c>
      <c r="K103">
        <v>298.16267099445503</v>
      </c>
      <c r="L103">
        <v>297.55199597969101</v>
      </c>
      <c r="M103">
        <v>290.80865384615299</v>
      </c>
      <c r="N103">
        <v>0.87632812500000001</v>
      </c>
      <c r="O103" s="1">
        <v>-4.6014420430948399E-8</v>
      </c>
      <c r="Q103">
        <v>299.14999999999998</v>
      </c>
      <c r="R103">
        <f t="shared" si="7"/>
        <v>30</v>
      </c>
      <c r="S103">
        <f t="shared" si="8"/>
        <v>24.744121719701013</v>
      </c>
      <c r="T103">
        <f t="shared" si="9"/>
        <v>24.613939757135995</v>
      </c>
      <c r="U103">
        <f t="shared" si="10"/>
        <v>24.469260847122996</v>
      </c>
      <c r="V103">
        <f t="shared" si="11"/>
        <v>25.01267099445505</v>
      </c>
      <c r="W103">
        <f t="shared" si="12"/>
        <v>24.401995979691037</v>
      </c>
      <c r="Y103">
        <v>25.25</v>
      </c>
    </row>
    <row r="104" spans="1:25" x14ac:dyDescent="0.25">
      <c r="A104">
        <v>0</v>
      </c>
      <c r="B104" s="1">
        <v>9.7155173865251095E-5</v>
      </c>
      <c r="C104" s="1">
        <v>9.2260903192782894E-5</v>
      </c>
      <c r="D104" s="1">
        <v>9.7155173865249604E-5</v>
      </c>
      <c r="E104" s="1">
        <v>7.1758480261051996E-5</v>
      </c>
      <c r="F104">
        <v>0.1</v>
      </c>
      <c r="G104">
        <v>8.1919292278566597E-4</v>
      </c>
      <c r="H104">
        <v>297.87256720797501</v>
      </c>
      <c r="I104">
        <v>297.75076245617799</v>
      </c>
      <c r="J104">
        <v>297.60410012000398</v>
      </c>
      <c r="K104">
        <v>298.14813521168401</v>
      </c>
      <c r="L104">
        <v>297.54694280625199</v>
      </c>
      <c r="M104">
        <v>290.64999999999998</v>
      </c>
      <c r="N104">
        <v>0.885625</v>
      </c>
      <c r="O104" s="1">
        <v>-4.6120324561107099E-8</v>
      </c>
      <c r="Q104">
        <v>299.14999999999998</v>
      </c>
      <c r="R104">
        <f t="shared" si="7"/>
        <v>30</v>
      </c>
      <c r="S104">
        <f t="shared" si="8"/>
        <v>24.722567207975032</v>
      </c>
      <c r="T104">
        <f t="shared" si="9"/>
        <v>24.600762456178018</v>
      </c>
      <c r="U104">
        <f t="shared" si="10"/>
        <v>24.454100120004</v>
      </c>
      <c r="V104">
        <f t="shared" si="11"/>
        <v>24.99813521168403</v>
      </c>
      <c r="W104">
        <f t="shared" si="12"/>
        <v>24.396942806252014</v>
      </c>
      <c r="Y104">
        <v>25.5</v>
      </c>
    </row>
    <row r="105" spans="1:25" x14ac:dyDescent="0.25">
      <c r="A105">
        <v>0</v>
      </c>
      <c r="B105" s="1">
        <v>9.7383947417964298E-5</v>
      </c>
      <c r="C105" s="1">
        <v>9.2478152092250203E-5</v>
      </c>
      <c r="D105" s="1">
        <v>9.7383947417964203E-5</v>
      </c>
      <c r="E105" s="1">
        <v>7.1927451627305694E-5</v>
      </c>
      <c r="F105">
        <v>0.1</v>
      </c>
      <c r="G105">
        <v>8.2112177259799997E-4</v>
      </c>
      <c r="H105">
        <v>297.85140301645299</v>
      </c>
      <c r="I105">
        <v>297.73732613703902</v>
      </c>
      <c r="J105">
        <v>297.58827535274003</v>
      </c>
      <c r="K105">
        <v>298.13413287181999</v>
      </c>
      <c r="L105">
        <v>297.54172230829499</v>
      </c>
      <c r="M105">
        <v>290.491346153846</v>
      </c>
      <c r="N105">
        <v>0.89460937500000004</v>
      </c>
      <c r="O105" s="1">
        <v>-4.63377676257455E-8</v>
      </c>
      <c r="Q105">
        <v>299.14999999999998</v>
      </c>
      <c r="R105">
        <f t="shared" si="7"/>
        <v>30</v>
      </c>
      <c r="S105">
        <f t="shared" si="8"/>
        <v>24.701403016453014</v>
      </c>
      <c r="T105">
        <f t="shared" si="9"/>
        <v>24.587326137039042</v>
      </c>
      <c r="U105">
        <f t="shared" si="10"/>
        <v>24.43827535274005</v>
      </c>
      <c r="V105">
        <f t="shared" si="11"/>
        <v>24.984132871820009</v>
      </c>
      <c r="W105">
        <f t="shared" si="12"/>
        <v>24.391722308295016</v>
      </c>
      <c r="Y105">
        <v>25.75</v>
      </c>
    </row>
    <row r="106" spans="1:25" x14ac:dyDescent="0.25">
      <c r="A106">
        <v>0</v>
      </c>
      <c r="B106" s="1">
        <v>9.7546493081712902E-5</v>
      </c>
      <c r="C106" s="1">
        <v>9.2632509386367197E-5</v>
      </c>
      <c r="D106" s="1">
        <v>9.7546493081711005E-5</v>
      </c>
      <c r="E106" s="1">
        <v>7.2047507300508699E-5</v>
      </c>
      <c r="F106">
        <v>0.1</v>
      </c>
      <c r="G106">
        <v>8.2249220823505504E-4</v>
      </c>
      <c r="H106">
        <v>297.83211118504801</v>
      </c>
      <c r="I106">
        <v>297.72392111946198</v>
      </c>
      <c r="J106">
        <v>297.571978509784</v>
      </c>
      <c r="K106">
        <v>298.119170888795</v>
      </c>
      <c r="L106">
        <v>297.53663379423898</v>
      </c>
      <c r="M106">
        <v>290.349999999999</v>
      </c>
      <c r="N106">
        <v>0.9</v>
      </c>
      <c r="O106" s="1">
        <v>-4.6492570293920697E-8</v>
      </c>
      <c r="Q106">
        <v>299.14999999999998</v>
      </c>
      <c r="R106">
        <f t="shared" si="7"/>
        <v>30</v>
      </c>
      <c r="S106">
        <f t="shared" si="8"/>
        <v>24.682111185048029</v>
      </c>
      <c r="T106">
        <f t="shared" si="9"/>
        <v>24.573921119462</v>
      </c>
      <c r="U106">
        <f t="shared" si="10"/>
        <v>24.421978509784026</v>
      </c>
      <c r="V106">
        <f t="shared" si="11"/>
        <v>24.96917088879502</v>
      </c>
      <c r="W106">
        <f t="shared" si="12"/>
        <v>24.386633794239003</v>
      </c>
      <c r="Y106">
        <v>26</v>
      </c>
    </row>
    <row r="107" spans="1:25" x14ac:dyDescent="0.25">
      <c r="A107">
        <v>0</v>
      </c>
      <c r="B107" s="1">
        <v>9.7798782468607799E-5</v>
      </c>
      <c r="C107" s="1">
        <v>9.2872089490802695E-5</v>
      </c>
      <c r="D107" s="1">
        <v>9.7798782468607704E-5</v>
      </c>
      <c r="E107" s="1">
        <v>7.2233847381735497E-5</v>
      </c>
      <c r="F107">
        <v>0.1</v>
      </c>
      <c r="G107">
        <v>8.2461935150682805E-4</v>
      </c>
      <c r="H107">
        <v>297.812944345657</v>
      </c>
      <c r="I107">
        <v>297.71123600710303</v>
      </c>
      <c r="J107">
        <v>297.55618778255803</v>
      </c>
      <c r="K107">
        <v>298.10110347605701</v>
      </c>
      <c r="L107">
        <v>297.53142854954501</v>
      </c>
      <c r="M107">
        <v>290.36750663129902</v>
      </c>
      <c r="N107">
        <v>0.90281250000000002</v>
      </c>
      <c r="O107" s="1">
        <v>-4.6733361004919301E-8</v>
      </c>
      <c r="Q107">
        <v>299.14999999999998</v>
      </c>
      <c r="R107">
        <f t="shared" si="7"/>
        <v>30</v>
      </c>
      <c r="S107">
        <f t="shared" si="8"/>
        <v>24.662944345657024</v>
      </c>
      <c r="T107">
        <f t="shared" si="9"/>
        <v>24.561236007103048</v>
      </c>
      <c r="U107">
        <f t="shared" si="10"/>
        <v>24.40618778255805</v>
      </c>
      <c r="V107">
        <f t="shared" si="11"/>
        <v>24.951103476057028</v>
      </c>
      <c r="W107">
        <f t="shared" si="12"/>
        <v>24.381428549545035</v>
      </c>
      <c r="Y107">
        <v>26.25</v>
      </c>
    </row>
    <row r="108" spans="1:25" x14ac:dyDescent="0.25">
      <c r="A108">
        <v>0</v>
      </c>
      <c r="B108" s="1">
        <v>9.8159590843603406E-5</v>
      </c>
      <c r="C108" s="1">
        <v>9.3214721851305095E-5</v>
      </c>
      <c r="D108" s="1">
        <v>9.8159590843604301E-5</v>
      </c>
      <c r="E108" s="1">
        <v>7.2500339217682901E-5</v>
      </c>
      <c r="F108">
        <v>0.1</v>
      </c>
      <c r="G108">
        <v>8.2766150759962004E-4</v>
      </c>
      <c r="H108">
        <v>297.79205420002398</v>
      </c>
      <c r="I108">
        <v>297.70077593663802</v>
      </c>
      <c r="J108">
        <v>297.54417231222902</v>
      </c>
      <c r="K108">
        <v>298.07979719376698</v>
      </c>
      <c r="L108">
        <v>297.52565070947099</v>
      </c>
      <c r="M108">
        <v>290.57360742705498</v>
      </c>
      <c r="N108">
        <v>0.90500000000000003</v>
      </c>
      <c r="O108" s="1">
        <v>-4.7078811116455698E-8</v>
      </c>
      <c r="Q108">
        <v>299.14999999999998</v>
      </c>
      <c r="R108">
        <f t="shared" si="7"/>
        <v>30</v>
      </c>
      <c r="S108">
        <f t="shared" si="8"/>
        <v>24.642054200024006</v>
      </c>
      <c r="T108">
        <f t="shared" si="9"/>
        <v>24.550775936638047</v>
      </c>
      <c r="U108">
        <f t="shared" si="10"/>
        <v>24.394172312229045</v>
      </c>
      <c r="V108">
        <f t="shared" si="11"/>
        <v>24.929797193767001</v>
      </c>
      <c r="W108">
        <f t="shared" si="12"/>
        <v>24.375650709471017</v>
      </c>
      <c r="Y108">
        <v>26.5</v>
      </c>
    </row>
    <row r="109" spans="1:25" x14ac:dyDescent="0.25">
      <c r="A109">
        <v>0</v>
      </c>
      <c r="B109" s="1">
        <v>9.8401603597678304E-5</v>
      </c>
      <c r="C109" s="1">
        <v>9.3444543016632197E-5</v>
      </c>
      <c r="D109" s="1">
        <v>9.8401603597678304E-5</v>
      </c>
      <c r="E109" s="1">
        <v>7.2679089012936196E-5</v>
      </c>
      <c r="F109">
        <v>0.1</v>
      </c>
      <c r="G109">
        <v>8.2970200584306895E-4</v>
      </c>
      <c r="H109">
        <v>297.77358818994998</v>
      </c>
      <c r="I109">
        <v>297.69243654109601</v>
      </c>
      <c r="J109">
        <v>297.53623253318102</v>
      </c>
      <c r="K109">
        <v>298.05668757038399</v>
      </c>
      <c r="L109">
        <v>297.52022193289201</v>
      </c>
      <c r="M109">
        <v>290.81790450928298</v>
      </c>
      <c r="N109">
        <v>0.90468749999999998</v>
      </c>
      <c r="O109" s="1">
        <v>-4.7311231369932802E-8</v>
      </c>
      <c r="Q109">
        <v>299.14999999999998</v>
      </c>
      <c r="R109">
        <f t="shared" si="7"/>
        <v>30</v>
      </c>
      <c r="S109">
        <f t="shared" si="8"/>
        <v>24.623588189949999</v>
      </c>
      <c r="T109">
        <f t="shared" si="9"/>
        <v>24.542436541096038</v>
      </c>
      <c r="U109">
        <f t="shared" si="10"/>
        <v>24.386232533181044</v>
      </c>
      <c r="V109">
        <f t="shared" si="11"/>
        <v>24.906687570384008</v>
      </c>
      <c r="W109">
        <f t="shared" si="12"/>
        <v>24.370221932892036</v>
      </c>
      <c r="Y109">
        <v>26.75</v>
      </c>
    </row>
    <row r="110" spans="1:25" x14ac:dyDescent="0.25">
      <c r="A110">
        <v>0</v>
      </c>
      <c r="B110" s="1">
        <v>9.8563225123321106E-5</v>
      </c>
      <c r="C110" s="1">
        <v>9.3598022726852796E-5</v>
      </c>
      <c r="D110" s="1">
        <v>9.8563225123321702E-5</v>
      </c>
      <c r="E110" s="1">
        <v>7.2798462120884504E-5</v>
      </c>
      <c r="F110">
        <v>0.1</v>
      </c>
      <c r="G110">
        <v>8.3106466647426798E-4</v>
      </c>
      <c r="H110">
        <v>297.758908559627</v>
      </c>
      <c r="I110">
        <v>297.68468470260399</v>
      </c>
      <c r="J110">
        <v>297.52949277305203</v>
      </c>
      <c r="K110">
        <v>298.03491737590701</v>
      </c>
      <c r="L110">
        <v>297.51552879042401</v>
      </c>
      <c r="M110">
        <v>290.95</v>
      </c>
      <c r="N110">
        <v>0.9</v>
      </c>
      <c r="O110" s="1">
        <v>-4.7466762132508803E-8</v>
      </c>
      <c r="Q110">
        <v>299.14999999999998</v>
      </c>
      <c r="R110">
        <f t="shared" si="7"/>
        <v>30</v>
      </c>
      <c r="S110">
        <f t="shared" si="8"/>
        <v>24.608908559627025</v>
      </c>
      <c r="T110">
        <f t="shared" si="9"/>
        <v>24.534684702604011</v>
      </c>
      <c r="U110">
        <f t="shared" si="10"/>
        <v>24.37949277305205</v>
      </c>
      <c r="V110">
        <f t="shared" si="11"/>
        <v>24.884917375907037</v>
      </c>
      <c r="W110">
        <f t="shared" si="12"/>
        <v>24.365528790424037</v>
      </c>
      <c r="Y110">
        <v>27</v>
      </c>
    </row>
    <row r="111" spans="1:25" x14ac:dyDescent="0.25">
      <c r="A111">
        <v>0</v>
      </c>
      <c r="B111" s="1">
        <v>9.8611693871955303E-5</v>
      </c>
      <c r="C111" s="1">
        <v>9.3644049822965997E-5</v>
      </c>
      <c r="D111" s="1">
        <v>9.86116938719493E-5</v>
      </c>
      <c r="E111" s="1">
        <v>7.2834260973414605E-5</v>
      </c>
      <c r="F111">
        <v>0.1</v>
      </c>
      <c r="G111">
        <v>8.3147325235538897E-4</v>
      </c>
      <c r="H111">
        <v>297.745067689287</v>
      </c>
      <c r="I111">
        <v>297.67545229813999</v>
      </c>
      <c r="J111">
        <v>297.519951869556</v>
      </c>
      <c r="K111">
        <v>298.01704672202402</v>
      </c>
      <c r="L111">
        <v>297.51140568773701</v>
      </c>
      <c r="M111">
        <v>290.85734632683602</v>
      </c>
      <c r="N111">
        <v>0.89249999999999996</v>
      </c>
      <c r="O111" s="1">
        <v>-4.7513446866251602E-8</v>
      </c>
      <c r="Q111">
        <v>299.14999999999998</v>
      </c>
      <c r="R111">
        <f t="shared" si="7"/>
        <v>30</v>
      </c>
      <c r="S111">
        <f t="shared" si="8"/>
        <v>24.595067689287021</v>
      </c>
      <c r="T111">
        <f t="shared" si="9"/>
        <v>24.52545229814001</v>
      </c>
      <c r="U111">
        <f t="shared" si="10"/>
        <v>24.369951869556019</v>
      </c>
      <c r="V111">
        <f t="shared" si="11"/>
        <v>24.867046722024043</v>
      </c>
      <c r="W111">
        <f t="shared" si="12"/>
        <v>24.361405687737033</v>
      </c>
      <c r="Y111">
        <v>27.25</v>
      </c>
    </row>
    <row r="112" spans="1:25" x14ac:dyDescent="0.25">
      <c r="A112">
        <v>0</v>
      </c>
      <c r="B112" s="1">
        <v>9.8540583201274507E-5</v>
      </c>
      <c r="C112" s="1">
        <v>9.3576521409990298E-5</v>
      </c>
      <c r="D112" s="1">
        <v>9.8540583201274507E-5</v>
      </c>
      <c r="E112" s="1">
        <v>7.2781738874436901E-5</v>
      </c>
      <c r="F112">
        <v>0.1</v>
      </c>
      <c r="G112">
        <v>8.3087357761918402E-4</v>
      </c>
      <c r="H112">
        <v>297.72900628602002</v>
      </c>
      <c r="I112">
        <v>297.66350329736701</v>
      </c>
      <c r="J112">
        <v>297.50620877659998</v>
      </c>
      <c r="K112">
        <v>298.00272699512101</v>
      </c>
      <c r="L112">
        <v>297.507083755797</v>
      </c>
      <c r="M112">
        <v>290.62706146926502</v>
      </c>
      <c r="N112">
        <v>0.88500000000000001</v>
      </c>
      <c r="O112" s="1">
        <v>-4.74449363304756E-8</v>
      </c>
      <c r="Q112">
        <v>299.14999999999998</v>
      </c>
      <c r="R112">
        <f t="shared" si="7"/>
        <v>30</v>
      </c>
      <c r="S112">
        <f t="shared" si="8"/>
        <v>24.579006286020046</v>
      </c>
      <c r="T112">
        <f t="shared" si="9"/>
        <v>24.513503297367038</v>
      </c>
      <c r="U112">
        <f t="shared" si="10"/>
        <v>24.356208776599999</v>
      </c>
      <c r="V112">
        <f t="shared" si="11"/>
        <v>24.852726995121031</v>
      </c>
      <c r="W112">
        <f t="shared" si="12"/>
        <v>24.357083755797021</v>
      </c>
      <c r="Y112">
        <v>27.5</v>
      </c>
    </row>
    <row r="113" spans="1:25" x14ac:dyDescent="0.25">
      <c r="A113">
        <v>0</v>
      </c>
      <c r="B113" s="1">
        <v>9.8449771126886201E-5</v>
      </c>
      <c r="C113" s="1">
        <v>9.3490284067492701E-5</v>
      </c>
      <c r="D113" s="1">
        <v>9.8449771126884602E-5</v>
      </c>
      <c r="E113" s="1">
        <v>7.2714665385827906E-5</v>
      </c>
      <c r="F113">
        <v>0.1</v>
      </c>
      <c r="G113">
        <v>8.3010779414596596E-4</v>
      </c>
      <c r="H113">
        <v>297.71286324044399</v>
      </c>
      <c r="I113">
        <v>297.64973293245703</v>
      </c>
      <c r="J113">
        <v>297.492527365299</v>
      </c>
      <c r="K113">
        <v>297.99305445415098</v>
      </c>
      <c r="L113">
        <v>297.50251793392999</v>
      </c>
      <c r="M113">
        <v>290.40824587706101</v>
      </c>
      <c r="N113">
        <v>0.87749999999999995</v>
      </c>
      <c r="O113" s="1">
        <v>-4.73575203722162E-8</v>
      </c>
      <c r="Q113">
        <v>299.14999999999998</v>
      </c>
      <c r="R113">
        <f t="shared" si="7"/>
        <v>30</v>
      </c>
      <c r="S113">
        <f t="shared" si="8"/>
        <v>24.562863240444017</v>
      </c>
      <c r="T113">
        <f t="shared" si="9"/>
        <v>24.49973293245705</v>
      </c>
      <c r="U113">
        <f t="shared" si="10"/>
        <v>24.34252736529902</v>
      </c>
      <c r="V113">
        <f t="shared" si="11"/>
        <v>24.843054454151002</v>
      </c>
      <c r="W113">
        <f t="shared" si="12"/>
        <v>24.352517933930017</v>
      </c>
      <c r="Y113">
        <v>27.75</v>
      </c>
    </row>
    <row r="114" spans="1:25" x14ac:dyDescent="0.25">
      <c r="A114">
        <v>0</v>
      </c>
      <c r="B114" s="1">
        <v>9.8464306382514802E-5</v>
      </c>
      <c r="C114" s="1">
        <v>9.3504087097833101E-5</v>
      </c>
      <c r="D114" s="1">
        <v>9.8464306382514802E-5</v>
      </c>
      <c r="E114" s="1">
        <v>7.2725401076092401E-5</v>
      </c>
      <c r="F114">
        <v>0.1</v>
      </c>
      <c r="G114">
        <v>8.3023028523136701E-4</v>
      </c>
      <c r="H114">
        <v>297.70164048423101</v>
      </c>
      <c r="I114">
        <v>297.63686320854799</v>
      </c>
      <c r="J114">
        <v>297.479901058851</v>
      </c>
      <c r="K114">
        <v>297.98932558467999</v>
      </c>
      <c r="L114">
        <v>297.49921030350299</v>
      </c>
      <c r="M114">
        <v>290.349999999999</v>
      </c>
      <c r="N114">
        <v>0.87</v>
      </c>
      <c r="O114" s="1">
        <v>-4.7371497598072902E-8</v>
      </c>
      <c r="Q114">
        <v>299.14999999999998</v>
      </c>
      <c r="R114">
        <f t="shared" si="7"/>
        <v>30</v>
      </c>
      <c r="S114">
        <f t="shared" si="8"/>
        <v>24.551640484231029</v>
      </c>
      <c r="T114">
        <f t="shared" si="9"/>
        <v>24.486863208548016</v>
      </c>
      <c r="U114">
        <f t="shared" si="10"/>
        <v>24.329901058851021</v>
      </c>
      <c r="V114">
        <f t="shared" si="11"/>
        <v>24.839325584680012</v>
      </c>
      <c r="W114">
        <f t="shared" si="12"/>
        <v>24.349210303503014</v>
      </c>
      <c r="Y114">
        <v>28</v>
      </c>
    </row>
    <row r="115" spans="1:25" x14ac:dyDescent="0.25">
      <c r="A115">
        <v>0</v>
      </c>
      <c r="B115" s="1">
        <v>9.8466946146292094E-5</v>
      </c>
      <c r="C115" s="1">
        <v>9.3506593881376201E-5</v>
      </c>
      <c r="D115" s="1">
        <v>9.8466946146299195E-5</v>
      </c>
      <c r="E115" s="1">
        <v>7.2727350796625794E-5</v>
      </c>
      <c r="F115">
        <v>0.1</v>
      </c>
      <c r="G115">
        <v>8.30252473049045E-4</v>
      </c>
      <c r="H115">
        <v>297.700144464527</v>
      </c>
      <c r="I115">
        <v>297.627294782489</v>
      </c>
      <c r="J115">
        <v>297.47090138764599</v>
      </c>
      <c r="K115">
        <v>297.98946548292002</v>
      </c>
      <c r="L115">
        <v>297.49730082047398</v>
      </c>
      <c r="M115">
        <v>290.52785326086899</v>
      </c>
      <c r="N115">
        <v>0.86250000000000004</v>
      </c>
      <c r="O115" s="1">
        <v>-4.73740296285599E-8</v>
      </c>
      <c r="Q115">
        <v>299.14999999999998</v>
      </c>
      <c r="R115">
        <f t="shared" si="7"/>
        <v>30</v>
      </c>
      <c r="S115">
        <f t="shared" si="8"/>
        <v>24.550144464527023</v>
      </c>
      <c r="T115">
        <f t="shared" si="9"/>
        <v>24.477294782489025</v>
      </c>
      <c r="U115">
        <f t="shared" si="10"/>
        <v>24.320901387646018</v>
      </c>
      <c r="V115">
        <f t="shared" si="11"/>
        <v>24.839465482920048</v>
      </c>
      <c r="W115">
        <f t="shared" si="12"/>
        <v>24.347300820474004</v>
      </c>
      <c r="Y115">
        <v>28.25</v>
      </c>
    </row>
    <row r="116" spans="1:25" x14ac:dyDescent="0.25">
      <c r="A116">
        <v>0</v>
      </c>
      <c r="B116" s="1">
        <v>9.55800504053309E-5</v>
      </c>
      <c r="C116" s="1">
        <v>9.0765127854522097E-5</v>
      </c>
      <c r="D116" s="1">
        <v>9.5580050405229296E-5</v>
      </c>
      <c r="E116" s="1">
        <v>7.0595099442416105E-5</v>
      </c>
      <c r="F116">
        <v>0.1</v>
      </c>
      <c r="G116">
        <v>8.0591074914994202E-4</v>
      </c>
      <c r="H116">
        <v>297.75031563033298</v>
      </c>
      <c r="I116">
        <v>297.60754181335602</v>
      </c>
      <c r="J116">
        <v>297.47006035570797</v>
      </c>
      <c r="K116">
        <v>297.98423205084799</v>
      </c>
      <c r="L116">
        <v>297.50593687119698</v>
      </c>
      <c r="M116">
        <v>290.84420289855001</v>
      </c>
      <c r="N116">
        <v>0.85499999999999998</v>
      </c>
      <c r="O116" s="1">
        <v>-4.4636883839557197E-8</v>
      </c>
      <c r="Q116">
        <v>299.14999999999998</v>
      </c>
      <c r="R116">
        <f t="shared" si="7"/>
        <v>30</v>
      </c>
      <c r="S116">
        <f t="shared" si="8"/>
        <v>24.600315630333</v>
      </c>
      <c r="T116">
        <f t="shared" si="9"/>
        <v>24.457541813356045</v>
      </c>
      <c r="U116">
        <f t="shared" si="10"/>
        <v>24.320060355707994</v>
      </c>
      <c r="V116">
        <f t="shared" si="11"/>
        <v>24.834232050848016</v>
      </c>
      <c r="W116">
        <f t="shared" si="12"/>
        <v>24.355936871197002</v>
      </c>
      <c r="Y116">
        <v>28.5</v>
      </c>
    </row>
    <row r="117" spans="1:25" x14ac:dyDescent="0.25">
      <c r="A117">
        <v>0</v>
      </c>
      <c r="B117" s="1">
        <v>1.5589253644490501E-5</v>
      </c>
      <c r="C117" s="1">
        <v>1.4803932349880499E-5</v>
      </c>
      <c r="D117" s="1">
        <v>1.5589253644490501E-5</v>
      </c>
      <c r="E117" s="1">
        <v>1.1514169605462601E-5</v>
      </c>
      <c r="F117">
        <v>0.1</v>
      </c>
      <c r="G117">
        <v>1.31445280900045E-4</v>
      </c>
      <c r="H117">
        <v>297.75825091841102</v>
      </c>
      <c r="I117">
        <v>297.62570246371098</v>
      </c>
      <c r="J117">
        <v>297.47233416400798</v>
      </c>
      <c r="K117">
        <v>297.98101142381302</v>
      </c>
      <c r="L117">
        <v>297.51305124629698</v>
      </c>
      <c r="M117">
        <v>291.18845108695598</v>
      </c>
      <c r="N117">
        <v>0.84750000000000003</v>
      </c>
      <c r="O117" s="1">
        <v>-1.1874353376425201E-9</v>
      </c>
      <c r="Q117">
        <v>299.14999999999998</v>
      </c>
      <c r="R117">
        <f t="shared" si="7"/>
        <v>30</v>
      </c>
      <c r="S117">
        <f t="shared" si="8"/>
        <v>24.608250918411045</v>
      </c>
      <c r="T117">
        <f t="shared" si="9"/>
        <v>24.475702463711002</v>
      </c>
      <c r="U117">
        <f t="shared" si="10"/>
        <v>24.322334164007998</v>
      </c>
      <c r="V117">
        <f t="shared" si="11"/>
        <v>24.831011423813038</v>
      </c>
      <c r="W117">
        <f t="shared" si="12"/>
        <v>24.363051246297005</v>
      </c>
      <c r="Y117">
        <v>28.75</v>
      </c>
    </row>
    <row r="118" spans="1:25" x14ac:dyDescent="0.25">
      <c r="A118">
        <v>0</v>
      </c>
      <c r="B118" s="1">
        <v>-6.2829599890925996E-10</v>
      </c>
      <c r="C118" s="1">
        <v>-5.9664507844097197E-10</v>
      </c>
      <c r="D118" s="1">
        <v>-6.2829599890925996E-10</v>
      </c>
      <c r="E118" s="1">
        <v>-4.6405728323186701E-10</v>
      </c>
      <c r="F118">
        <v>0.1</v>
      </c>
      <c r="G118" s="1">
        <v>-5.29765858219693E-9</v>
      </c>
      <c r="H118">
        <v>297.75854628341898</v>
      </c>
      <c r="I118">
        <v>297.654077091609</v>
      </c>
      <c r="J118">
        <v>297.48637688540902</v>
      </c>
      <c r="K118">
        <v>297.977886611428</v>
      </c>
      <c r="L118">
        <v>297.51873701751202</v>
      </c>
      <c r="M118">
        <v>291.45</v>
      </c>
      <c r="N118">
        <v>0.84</v>
      </c>
      <c r="O118" s="1">
        <v>-1.92880313556537E-18</v>
      </c>
      <c r="Q118">
        <v>299.14999999999998</v>
      </c>
      <c r="R118">
        <f t="shared" si="7"/>
        <v>30</v>
      </c>
      <c r="S118">
        <f t="shared" si="8"/>
        <v>24.608546283419003</v>
      </c>
      <c r="T118">
        <f t="shared" si="9"/>
        <v>24.50407709160902</v>
      </c>
      <c r="U118">
        <f t="shared" si="10"/>
        <v>24.336376885409038</v>
      </c>
      <c r="V118">
        <f t="shared" si="11"/>
        <v>24.827886611428028</v>
      </c>
      <c r="W118">
        <f t="shared" si="12"/>
        <v>24.368737017512046</v>
      </c>
      <c r="Y118">
        <v>29</v>
      </c>
    </row>
    <row r="119" spans="1:25" x14ac:dyDescent="0.25">
      <c r="A119">
        <v>0</v>
      </c>
      <c r="B119">
        <v>0.40818109074354397</v>
      </c>
      <c r="C119">
        <v>-7.6114889889097301E-2</v>
      </c>
      <c r="D119">
        <v>-0.115203358850199</v>
      </c>
      <c r="E119">
        <v>-0.11874661965382501</v>
      </c>
      <c r="F119">
        <v>0.1</v>
      </c>
      <c r="G119" s="1">
        <v>-3.8974296424489799E-25</v>
      </c>
      <c r="H119">
        <v>297.76161716167798</v>
      </c>
      <c r="I119">
        <v>297.700492928112</v>
      </c>
      <c r="J119">
        <v>297.50605744534602</v>
      </c>
      <c r="K119">
        <v>297.97777157708799</v>
      </c>
      <c r="L119">
        <v>297.52757467307998</v>
      </c>
      <c r="M119">
        <v>291.476902173913</v>
      </c>
      <c r="N119">
        <v>0.84292968749999997</v>
      </c>
      <c r="O119" s="1">
        <v>8.3255796473869499E-41</v>
      </c>
      <c r="Q119">
        <v>299.14999999999998</v>
      </c>
      <c r="R119">
        <f t="shared" si="7"/>
        <v>30</v>
      </c>
      <c r="S119">
        <f t="shared" si="8"/>
        <v>24.611617161677998</v>
      </c>
      <c r="T119">
        <f t="shared" si="9"/>
        <v>24.550492928112021</v>
      </c>
      <c r="U119">
        <f t="shared" si="10"/>
        <v>24.356057445346039</v>
      </c>
      <c r="V119">
        <f t="shared" si="11"/>
        <v>24.827771577088015</v>
      </c>
      <c r="W119">
        <f t="shared" si="12"/>
        <v>24.377574673080005</v>
      </c>
      <c r="Y119">
        <v>29.25</v>
      </c>
    </row>
    <row r="120" spans="1:25" x14ac:dyDescent="0.25">
      <c r="A120">
        <v>0</v>
      </c>
      <c r="B120">
        <v>0.40801421386241798</v>
      </c>
      <c r="C120">
        <v>-7.7180931073368306E-2</v>
      </c>
      <c r="D120">
        <v>-0.115189369319185</v>
      </c>
      <c r="E120">
        <v>-0.120671480245437</v>
      </c>
      <c r="F120">
        <v>0.1</v>
      </c>
      <c r="G120" s="1">
        <v>1.4148396736374499E-56</v>
      </c>
      <c r="H120">
        <v>297.767437528085</v>
      </c>
      <c r="I120">
        <v>297.764802957825</v>
      </c>
      <c r="J120">
        <v>297.53046621138299</v>
      </c>
      <c r="K120">
        <v>297.98078673902302</v>
      </c>
      <c r="L120">
        <v>297.54031942254898</v>
      </c>
      <c r="M120">
        <v>291.33840579710102</v>
      </c>
      <c r="N120">
        <v>0.85781249999999998</v>
      </c>
      <c r="O120" s="1">
        <v>8.3255796484308997E-41</v>
      </c>
      <c r="Q120">
        <v>299.14999999999998</v>
      </c>
      <c r="R120">
        <f t="shared" si="7"/>
        <v>30</v>
      </c>
      <c r="S120">
        <f t="shared" si="8"/>
        <v>24.61743752808502</v>
      </c>
      <c r="T120">
        <f t="shared" si="9"/>
        <v>24.61480295782502</v>
      </c>
      <c r="U120">
        <f t="shared" si="10"/>
        <v>24.380466211383009</v>
      </c>
      <c r="V120">
        <f t="shared" si="11"/>
        <v>24.83078673902304</v>
      </c>
      <c r="W120">
        <f t="shared" si="12"/>
        <v>24.390319422548998</v>
      </c>
      <c r="Y120">
        <v>29.5</v>
      </c>
    </row>
    <row r="121" spans="1:25" x14ac:dyDescent="0.25">
      <c r="A121">
        <v>0</v>
      </c>
      <c r="B121">
        <v>0.407939910928451</v>
      </c>
      <c r="C121">
        <v>-7.8147127586649198E-2</v>
      </c>
      <c r="D121">
        <v>-0.115199881694622</v>
      </c>
      <c r="E121">
        <v>-0.122395879429551</v>
      </c>
      <c r="F121">
        <v>0.1</v>
      </c>
      <c r="G121" s="1">
        <v>4.8068603364858301E-31</v>
      </c>
      <c r="H121">
        <v>297.77615486061302</v>
      </c>
      <c r="I121">
        <v>297.83879028389498</v>
      </c>
      <c r="J121">
        <v>297.55873346116903</v>
      </c>
      <c r="K121">
        <v>297.98680558270797</v>
      </c>
      <c r="L121">
        <v>297.55581775951703</v>
      </c>
      <c r="M121">
        <v>291.255706521739</v>
      </c>
      <c r="N121">
        <v>0.87128906250000004</v>
      </c>
      <c r="O121" s="1">
        <v>8.3255796484308997E-41</v>
      </c>
      <c r="Q121">
        <v>299.14999999999998</v>
      </c>
      <c r="R121">
        <f t="shared" si="7"/>
        <v>30</v>
      </c>
      <c r="S121">
        <f t="shared" si="8"/>
        <v>24.626154860613042</v>
      </c>
      <c r="T121">
        <f t="shared" si="9"/>
        <v>24.688790283895003</v>
      </c>
      <c r="U121">
        <f t="shared" si="10"/>
        <v>24.408733461169049</v>
      </c>
      <c r="V121">
        <f t="shared" si="11"/>
        <v>24.836805582707996</v>
      </c>
      <c r="W121">
        <f t="shared" si="12"/>
        <v>24.405817759517049</v>
      </c>
      <c r="Y121">
        <v>29.75</v>
      </c>
    </row>
    <row r="122" spans="1:25" x14ac:dyDescent="0.25">
      <c r="A122">
        <v>0</v>
      </c>
      <c r="B122" s="1">
        <v>2.6942367020122101E-13</v>
      </c>
      <c r="C122" s="1">
        <v>2.5585123432288199E-13</v>
      </c>
      <c r="D122" s="1">
        <v>2.6942367020122101E-13</v>
      </c>
      <c r="E122" s="1">
        <v>1.98995404473353E-13</v>
      </c>
      <c r="F122">
        <v>0.1</v>
      </c>
      <c r="G122" s="1">
        <v>2.2717232342175601E-12</v>
      </c>
      <c r="H122">
        <v>297.79001813865898</v>
      </c>
      <c r="I122">
        <v>297.92657244853302</v>
      </c>
      <c r="J122">
        <v>297.59793513490399</v>
      </c>
      <c r="K122">
        <v>297.997402622332</v>
      </c>
      <c r="L122">
        <v>297.57495650604699</v>
      </c>
      <c r="M122">
        <v>291.45</v>
      </c>
      <c r="N122">
        <v>0.87</v>
      </c>
      <c r="O122" s="1">
        <v>-3.5467519093811199E-25</v>
      </c>
      <c r="Q122">
        <v>299.14999999999998</v>
      </c>
      <c r="R122">
        <f t="shared" si="7"/>
        <v>30</v>
      </c>
      <c r="S122">
        <f t="shared" si="8"/>
        <v>24.640018138659002</v>
      </c>
      <c r="T122">
        <f t="shared" si="9"/>
        <v>24.776572448533045</v>
      </c>
      <c r="U122">
        <f t="shared" si="10"/>
        <v>24.447935134904014</v>
      </c>
      <c r="V122">
        <f t="shared" si="11"/>
        <v>24.847402622332027</v>
      </c>
      <c r="W122">
        <f t="shared" si="12"/>
        <v>24.42495650604701</v>
      </c>
      <c r="Y122">
        <v>30</v>
      </c>
    </row>
    <row r="123" spans="1:25" x14ac:dyDescent="0.25">
      <c r="A123">
        <v>0</v>
      </c>
      <c r="B123">
        <v>0.408784358913239</v>
      </c>
      <c r="C123">
        <v>-7.6969589631246602E-2</v>
      </c>
      <c r="D123">
        <v>-0.115589125532054</v>
      </c>
      <c r="E123">
        <v>-0.11993063490502399</v>
      </c>
      <c r="F123">
        <v>0.1</v>
      </c>
      <c r="G123" s="1">
        <v>-1.3922815238641601E-20</v>
      </c>
      <c r="H123">
        <v>297.81187549962902</v>
      </c>
      <c r="I123">
        <v>298.036924871108</v>
      </c>
      <c r="J123">
        <v>297.63858395779801</v>
      </c>
      <c r="K123">
        <v>298.01518014073599</v>
      </c>
      <c r="L123">
        <v>297.60037040957599</v>
      </c>
      <c r="M123">
        <v>292.09835597825997</v>
      </c>
      <c r="N123">
        <v>0.85472656250000001</v>
      </c>
      <c r="O123" s="1">
        <v>6.9933653474926504E-41</v>
      </c>
      <c r="Q123">
        <v>299.14999999999998</v>
      </c>
      <c r="R123">
        <f t="shared" si="7"/>
        <v>30</v>
      </c>
      <c r="S123">
        <f t="shared" si="8"/>
        <v>24.661875499629048</v>
      </c>
      <c r="T123">
        <f t="shared" si="9"/>
        <v>24.886924871108022</v>
      </c>
      <c r="U123">
        <f t="shared" si="10"/>
        <v>24.488583957798028</v>
      </c>
      <c r="V123">
        <f t="shared" si="11"/>
        <v>24.865180140736015</v>
      </c>
      <c r="W123">
        <f t="shared" si="12"/>
        <v>24.45037040957601</v>
      </c>
      <c r="Y123">
        <v>30.25</v>
      </c>
    </row>
    <row r="124" spans="1:25" x14ac:dyDescent="0.25">
      <c r="A124">
        <v>0</v>
      </c>
      <c r="B124">
        <v>0.40999307862907902</v>
      </c>
      <c r="C124">
        <v>-7.5620025912396402E-2</v>
      </c>
      <c r="D124">
        <v>-0.116030640979601</v>
      </c>
      <c r="E124">
        <v>-0.11721603956804801</v>
      </c>
      <c r="F124">
        <v>0.1</v>
      </c>
      <c r="G124" s="1">
        <v>-6.9617944570432396E-21</v>
      </c>
      <c r="H124">
        <v>297.84488779377801</v>
      </c>
      <c r="I124">
        <v>298.17085419195803</v>
      </c>
      <c r="J124">
        <v>297.68275982795001</v>
      </c>
      <c r="K124">
        <v>298.04289166312998</v>
      </c>
      <c r="L124">
        <v>297.63476673943399</v>
      </c>
      <c r="M124">
        <v>293.05576086956501</v>
      </c>
      <c r="N124">
        <v>0.83572916666666597</v>
      </c>
      <c r="O124" s="1">
        <v>7.99248905733023E-41</v>
      </c>
      <c r="Q124">
        <v>299.14999999999998</v>
      </c>
      <c r="R124">
        <f t="shared" si="7"/>
        <v>30</v>
      </c>
      <c r="S124">
        <f t="shared" si="8"/>
        <v>24.694887793778037</v>
      </c>
      <c r="T124">
        <f t="shared" si="9"/>
        <v>25.020854191958051</v>
      </c>
      <c r="U124">
        <f t="shared" si="10"/>
        <v>24.532759827950031</v>
      </c>
      <c r="V124">
        <f t="shared" si="11"/>
        <v>24.892891663130001</v>
      </c>
      <c r="W124">
        <f t="shared" si="12"/>
        <v>24.484766739434008</v>
      </c>
      <c r="Y124">
        <v>30.5</v>
      </c>
    </row>
    <row r="125" spans="1:25" x14ac:dyDescent="0.25">
      <c r="A125">
        <v>0</v>
      </c>
      <c r="B125">
        <v>0.41111781469603798</v>
      </c>
      <c r="C125">
        <v>-7.4067117117221498E-2</v>
      </c>
      <c r="D125">
        <v>-0.116156192024466</v>
      </c>
      <c r="E125">
        <v>-0.114114950597261</v>
      </c>
      <c r="F125">
        <v>0.1</v>
      </c>
      <c r="G125" s="1">
        <v>-1.5568481754112501E-22</v>
      </c>
      <c r="H125">
        <v>297.88582239146399</v>
      </c>
      <c r="I125">
        <v>298.30670499048802</v>
      </c>
      <c r="J125">
        <v>297.72376665989998</v>
      </c>
      <c r="K125">
        <v>298.07728069694099</v>
      </c>
      <c r="L125">
        <v>297.67419098199701</v>
      </c>
      <c r="M125">
        <v>294.06028532608599</v>
      </c>
      <c r="N125">
        <v>0.81386718749999998</v>
      </c>
      <c r="O125" s="1">
        <v>8.32541307240541E-41</v>
      </c>
      <c r="Q125">
        <v>299.14999999999998</v>
      </c>
      <c r="R125">
        <f t="shared" si="7"/>
        <v>30</v>
      </c>
      <c r="S125">
        <f t="shared" si="8"/>
        <v>24.735822391464012</v>
      </c>
      <c r="T125">
        <f t="shared" si="9"/>
        <v>25.156704990488038</v>
      </c>
      <c r="U125">
        <f t="shared" si="10"/>
        <v>24.573766659900002</v>
      </c>
      <c r="V125">
        <f t="shared" si="11"/>
        <v>24.927280696941011</v>
      </c>
      <c r="W125">
        <f t="shared" si="12"/>
        <v>24.524190981997037</v>
      </c>
      <c r="Y125">
        <v>30.75</v>
      </c>
    </row>
    <row r="126" spans="1:25" x14ac:dyDescent="0.25">
      <c r="A126">
        <v>0</v>
      </c>
      <c r="B126" s="1">
        <v>8.3521337762378795E-12</v>
      </c>
      <c r="C126" s="1">
        <v>7.9313882640093607E-12</v>
      </c>
      <c r="D126" s="1">
        <v>8.3521337762378795E-12</v>
      </c>
      <c r="E126" s="1">
        <v>6.1688575386739501E-12</v>
      </c>
      <c r="F126">
        <v>0.1</v>
      </c>
      <c r="G126" s="1">
        <v>7.0423420260274096E-11</v>
      </c>
      <c r="H126">
        <v>297.93084027053499</v>
      </c>
      <c r="I126">
        <v>298.44723233673699</v>
      </c>
      <c r="J126">
        <v>297.76448414145102</v>
      </c>
      <c r="K126">
        <v>298.11525795749498</v>
      </c>
      <c r="L126">
        <v>297.71659411258997</v>
      </c>
      <c r="M126">
        <v>294.849999999999</v>
      </c>
      <c r="N126">
        <v>0.79</v>
      </c>
      <c r="O126" s="1">
        <v>-3.4084285848697398E-22</v>
      </c>
      <c r="Q126">
        <v>299.14999999999998</v>
      </c>
      <c r="R126">
        <f t="shared" si="7"/>
        <v>26</v>
      </c>
      <c r="S126">
        <f t="shared" si="8"/>
        <v>24.780840270535009</v>
      </c>
      <c r="T126">
        <f t="shared" si="9"/>
        <v>25.297232336737011</v>
      </c>
      <c r="U126">
        <f t="shared" si="10"/>
        <v>24.614484141451044</v>
      </c>
      <c r="V126">
        <f t="shared" si="11"/>
        <v>24.965257957494998</v>
      </c>
      <c r="W126">
        <f t="shared" si="12"/>
        <v>24.566594112589996</v>
      </c>
      <c r="Y126">
        <v>31</v>
      </c>
    </row>
    <row r="127" spans="1:25" x14ac:dyDescent="0.25">
      <c r="A127">
        <v>0</v>
      </c>
      <c r="B127">
        <v>9.7458550103158501E-2</v>
      </c>
      <c r="C127">
        <v>9.7423120341034605E-2</v>
      </c>
      <c r="D127">
        <v>9.6680879170995604E-2</v>
      </c>
      <c r="E127">
        <v>8.5001003783058304E-2</v>
      </c>
      <c r="F127">
        <v>0.1</v>
      </c>
      <c r="G127">
        <v>1.1340761385967699</v>
      </c>
      <c r="H127">
        <v>297.60027952738699</v>
      </c>
      <c r="I127">
        <v>298.136091456278</v>
      </c>
      <c r="J127">
        <v>297.42235015505798</v>
      </c>
      <c r="K127">
        <v>297.72403481884601</v>
      </c>
      <c r="L127">
        <v>297.26389608594297</v>
      </c>
      <c r="M127">
        <v>295.41566964285698</v>
      </c>
      <c r="N127">
        <v>0.76504687500000002</v>
      </c>
      <c r="O127">
        <v>5273.3623536477999</v>
      </c>
      <c r="Q127">
        <v>299.14999999999998</v>
      </c>
      <c r="R127">
        <f t="shared" si="7"/>
        <v>26</v>
      </c>
      <c r="S127">
        <f t="shared" si="8"/>
        <v>24.450279527387011</v>
      </c>
      <c r="T127">
        <f t="shared" si="9"/>
        <v>24.986091456278018</v>
      </c>
      <c r="U127">
        <f t="shared" si="10"/>
        <v>24.272350155058007</v>
      </c>
      <c r="V127">
        <f t="shared" si="11"/>
        <v>24.57403481884603</v>
      </c>
      <c r="W127">
        <f t="shared" si="12"/>
        <v>24.113896085942997</v>
      </c>
      <c r="Y127">
        <v>31.25</v>
      </c>
    </row>
    <row r="128" spans="1:25" x14ac:dyDescent="0.25">
      <c r="A128">
        <v>0</v>
      </c>
      <c r="B128">
        <v>8.8883025486715395E-2</v>
      </c>
      <c r="C128">
        <v>8.9931229446547703E-2</v>
      </c>
      <c r="D128">
        <v>8.8702547108882798E-2</v>
      </c>
      <c r="E128">
        <v>7.80200033473641E-2</v>
      </c>
      <c r="F128">
        <v>0.1</v>
      </c>
      <c r="G128">
        <v>2.5169274351904201</v>
      </c>
      <c r="H128">
        <v>297.25654569448301</v>
      </c>
      <c r="I128">
        <v>297.75227315671299</v>
      </c>
      <c r="J128">
        <v>297.11040673746402</v>
      </c>
      <c r="K128">
        <v>297.29034945541099</v>
      </c>
      <c r="L128">
        <v>296.483518025107</v>
      </c>
      <c r="M128">
        <v>295.946785714285</v>
      </c>
      <c r="N128">
        <v>0.73970833333333297</v>
      </c>
      <c r="O128">
        <v>9840.5464492945994</v>
      </c>
      <c r="Q128">
        <v>299.14999999999998</v>
      </c>
      <c r="R128">
        <f t="shared" si="7"/>
        <v>26</v>
      </c>
      <c r="S128">
        <f t="shared" si="8"/>
        <v>24.106545694483032</v>
      </c>
      <c r="T128">
        <f t="shared" si="9"/>
        <v>24.602273156713011</v>
      </c>
      <c r="U128">
        <f t="shared" si="10"/>
        <v>23.960406737464041</v>
      </c>
      <c r="V128">
        <f t="shared" si="11"/>
        <v>24.140349455411013</v>
      </c>
      <c r="W128">
        <f t="shared" si="12"/>
        <v>23.333518025107026</v>
      </c>
      <c r="Y128">
        <v>31.5</v>
      </c>
    </row>
    <row r="129" spans="1:25" x14ac:dyDescent="0.25">
      <c r="A129">
        <v>0</v>
      </c>
      <c r="B129">
        <v>9.1555160800383201E-2</v>
      </c>
      <c r="C129">
        <v>9.22203164975616E-2</v>
      </c>
      <c r="D129">
        <v>9.1432927987122894E-2</v>
      </c>
      <c r="E129">
        <v>7.9643837237930504E-2</v>
      </c>
      <c r="F129">
        <v>0.1</v>
      </c>
      <c r="G129">
        <v>3.77167662380602</v>
      </c>
      <c r="H129">
        <v>296.90336574105498</v>
      </c>
      <c r="I129">
        <v>297.395890411675</v>
      </c>
      <c r="J129">
        <v>296.76367179223598</v>
      </c>
      <c r="K129">
        <v>296.88124943759198</v>
      </c>
      <c r="L129">
        <v>295.86676198168499</v>
      </c>
      <c r="M129">
        <v>296.47950892857102</v>
      </c>
      <c r="N129">
        <v>0.71451562499999999</v>
      </c>
      <c r="O129">
        <v>17189.028751719699</v>
      </c>
      <c r="Q129">
        <v>299.14999999999998</v>
      </c>
      <c r="R129">
        <f t="shared" si="7"/>
        <v>26</v>
      </c>
      <c r="S129">
        <f t="shared" si="8"/>
        <v>23.753365741055006</v>
      </c>
      <c r="T129">
        <f t="shared" si="9"/>
        <v>24.24589041167502</v>
      </c>
      <c r="U129">
        <f t="shared" si="10"/>
        <v>23.613671792236005</v>
      </c>
      <c r="V129">
        <f t="shared" si="11"/>
        <v>23.731249437591998</v>
      </c>
      <c r="W129">
        <f t="shared" si="12"/>
        <v>22.716761981685011</v>
      </c>
      <c r="Y129">
        <v>31.75</v>
      </c>
    </row>
    <row r="130" spans="1:25" x14ac:dyDescent="0.25">
      <c r="A130">
        <v>0</v>
      </c>
      <c r="B130">
        <v>0.104983631999763</v>
      </c>
      <c r="C130">
        <v>0.10504024766180201</v>
      </c>
      <c r="D130">
        <v>0.104432653587626</v>
      </c>
      <c r="E130">
        <v>9.0558197210023506E-2</v>
      </c>
      <c r="F130">
        <v>0.1</v>
      </c>
      <c r="G130">
        <v>4.1793802800438096</v>
      </c>
      <c r="H130">
        <v>296.72463164254799</v>
      </c>
      <c r="I130">
        <v>297.24728033507301</v>
      </c>
      <c r="J130">
        <v>296.58348901635497</v>
      </c>
      <c r="K130">
        <v>296.6769845284</v>
      </c>
      <c r="L130">
        <v>295.62146956910198</v>
      </c>
      <c r="M130">
        <v>297.04999999999899</v>
      </c>
      <c r="N130">
        <v>0.69</v>
      </c>
      <c r="O130">
        <v>20049.838978474199</v>
      </c>
      <c r="Q130">
        <v>299.14999999999998</v>
      </c>
      <c r="R130">
        <f t="shared" si="7"/>
        <v>26</v>
      </c>
      <c r="S130">
        <f t="shared" si="8"/>
        <v>23.574631642548013</v>
      </c>
      <c r="T130">
        <f t="shared" si="9"/>
        <v>24.097280335073037</v>
      </c>
      <c r="U130">
        <f t="shared" si="10"/>
        <v>23.433489016354997</v>
      </c>
      <c r="V130">
        <f t="shared" si="11"/>
        <v>23.526984528400021</v>
      </c>
      <c r="W130">
        <f t="shared" si="12"/>
        <v>22.471469569101998</v>
      </c>
      <c r="Y130">
        <v>32</v>
      </c>
    </row>
    <row r="131" spans="1:25" x14ac:dyDescent="0.25">
      <c r="A131">
        <v>0</v>
      </c>
      <c r="B131">
        <v>0.121524535625488</v>
      </c>
      <c r="C131">
        <v>0.11827137293551</v>
      </c>
      <c r="D131">
        <v>0.121028532622104</v>
      </c>
      <c r="E131">
        <v>0.10391293567474499</v>
      </c>
      <c r="F131">
        <v>0.1</v>
      </c>
      <c r="G131">
        <v>4.3724350938771499</v>
      </c>
      <c r="H131">
        <v>296.74774328656298</v>
      </c>
      <c r="I131">
        <v>297.30050511684101</v>
      </c>
      <c r="J131">
        <v>296.600155030135</v>
      </c>
      <c r="K131">
        <v>296.67292532486402</v>
      </c>
      <c r="L131">
        <v>295.61261337351198</v>
      </c>
      <c r="M131">
        <v>297.73049107142799</v>
      </c>
      <c r="N131">
        <v>0.66630468750000005</v>
      </c>
      <c r="O131">
        <v>21853.1193046343</v>
      </c>
      <c r="Q131">
        <v>299.14999999999998</v>
      </c>
      <c r="R131">
        <f t="shared" ref="R131:R194" si="13">IF(MOD(Y131,24)&lt;7,30,(IF(MOD(Y131,24)&lt;20,26,30)))</f>
        <v>26</v>
      </c>
      <c r="S131">
        <f t="shared" ref="S131:S194" si="14">H131-273.15</f>
        <v>23.597743286563002</v>
      </c>
      <c r="T131">
        <f t="shared" ref="T131:T194" si="15">I131-273.15</f>
        <v>24.150505116841032</v>
      </c>
      <c r="U131">
        <f t="shared" ref="U131:U194" si="16">J131-273.15</f>
        <v>23.450155030135022</v>
      </c>
      <c r="V131">
        <f t="shared" ref="V131:V194" si="17">K131-273.15</f>
        <v>23.522925324864048</v>
      </c>
      <c r="W131">
        <f t="shared" ref="W131:W194" si="18">L131-273.15</f>
        <v>22.462613373511999</v>
      </c>
      <c r="Y131">
        <v>32.25</v>
      </c>
    </row>
    <row r="132" spans="1:25" x14ac:dyDescent="0.25">
      <c r="A132">
        <v>0</v>
      </c>
      <c r="B132">
        <v>0.121644376121729</v>
      </c>
      <c r="C132">
        <v>0.11786568204994299</v>
      </c>
      <c r="D132">
        <v>0.121168328573593</v>
      </c>
      <c r="E132">
        <v>0.103488869752993</v>
      </c>
      <c r="F132">
        <v>0.1</v>
      </c>
      <c r="G132">
        <v>4.5088748128131204</v>
      </c>
      <c r="H132">
        <v>296.85395654480101</v>
      </c>
      <c r="I132">
        <v>297.41853500519102</v>
      </c>
      <c r="J132">
        <v>296.69567987630802</v>
      </c>
      <c r="K132">
        <v>296.74481402801803</v>
      </c>
      <c r="L132">
        <v>295.66126190921898</v>
      </c>
      <c r="M132">
        <v>298.49654761904702</v>
      </c>
      <c r="N132">
        <v>0.64331249999999995</v>
      </c>
      <c r="O132">
        <v>23780.847842526098</v>
      </c>
      <c r="Q132">
        <v>299.14999999999998</v>
      </c>
      <c r="R132">
        <f t="shared" si="13"/>
        <v>26</v>
      </c>
      <c r="S132">
        <f t="shared" si="14"/>
        <v>23.703956544801031</v>
      </c>
      <c r="T132">
        <f t="shared" si="15"/>
        <v>24.26853500519104</v>
      </c>
      <c r="U132">
        <f t="shared" si="16"/>
        <v>23.545679876308043</v>
      </c>
      <c r="V132">
        <f t="shared" si="17"/>
        <v>23.59481402801805</v>
      </c>
      <c r="W132">
        <f t="shared" si="18"/>
        <v>22.511261909219002</v>
      </c>
      <c r="Y132">
        <v>32.5</v>
      </c>
    </row>
    <row r="133" spans="1:25" x14ac:dyDescent="0.25">
      <c r="A133">
        <v>0</v>
      </c>
      <c r="B133">
        <v>0.12431182778149701</v>
      </c>
      <c r="C133">
        <v>0.120137760335859</v>
      </c>
      <c r="D133">
        <v>0.123926919490396</v>
      </c>
      <c r="E133">
        <v>0.105649512108989</v>
      </c>
      <c r="F133">
        <v>0.1</v>
      </c>
      <c r="G133">
        <v>4.5757592307621602</v>
      </c>
      <c r="H133">
        <v>296.98586741214501</v>
      </c>
      <c r="I133">
        <v>297.551902805483</v>
      </c>
      <c r="J133">
        <v>296.812364631143</v>
      </c>
      <c r="K133">
        <v>296.83951877542802</v>
      </c>
      <c r="L133">
        <v>295.74164737526002</v>
      </c>
      <c r="M133">
        <v>299.23933035714202</v>
      </c>
      <c r="N133">
        <v>0.6211640625</v>
      </c>
      <c r="O133">
        <v>25175.4917959089</v>
      </c>
      <c r="Q133">
        <v>299.14999999999998</v>
      </c>
      <c r="R133">
        <f t="shared" si="13"/>
        <v>26</v>
      </c>
      <c r="S133">
        <f t="shared" si="14"/>
        <v>23.835867412145035</v>
      </c>
      <c r="T133">
        <f t="shared" si="15"/>
        <v>24.401902805483019</v>
      </c>
      <c r="U133">
        <f t="shared" si="16"/>
        <v>23.662364631143021</v>
      </c>
      <c r="V133">
        <f t="shared" si="17"/>
        <v>23.689518775428041</v>
      </c>
      <c r="W133">
        <f t="shared" si="18"/>
        <v>22.591647375260038</v>
      </c>
      <c r="Y133">
        <v>32.75</v>
      </c>
    </row>
    <row r="134" spans="1:25" x14ac:dyDescent="0.25">
      <c r="A134">
        <v>0</v>
      </c>
      <c r="B134">
        <v>0.12536567246136701</v>
      </c>
      <c r="C134">
        <v>0.121528981339068</v>
      </c>
      <c r="D134">
        <v>0.12521474493050599</v>
      </c>
      <c r="E134">
        <v>0.107318088461309</v>
      </c>
      <c r="F134">
        <v>0.1</v>
      </c>
      <c r="G134">
        <v>4.5706080287379498</v>
      </c>
      <c r="H134">
        <v>297.158962441337</v>
      </c>
      <c r="I134">
        <v>297.71704408733001</v>
      </c>
      <c r="J134">
        <v>296.966917652446</v>
      </c>
      <c r="K134">
        <v>296.97334837641699</v>
      </c>
      <c r="L134">
        <v>295.86944629802701</v>
      </c>
      <c r="M134">
        <v>299.849999999999</v>
      </c>
      <c r="N134">
        <v>0.6</v>
      </c>
      <c r="O134">
        <v>25954.142040512201</v>
      </c>
      <c r="Q134">
        <v>299.14999999999998</v>
      </c>
      <c r="R134">
        <f t="shared" si="13"/>
        <v>26</v>
      </c>
      <c r="S134">
        <f t="shared" si="14"/>
        <v>24.008962441337019</v>
      </c>
      <c r="T134">
        <f t="shared" si="15"/>
        <v>24.567044087330032</v>
      </c>
      <c r="U134">
        <f t="shared" si="16"/>
        <v>23.816917652446023</v>
      </c>
      <c r="V134">
        <f t="shared" si="17"/>
        <v>23.823348376417016</v>
      </c>
      <c r="W134">
        <f t="shared" si="18"/>
        <v>22.719446298027037</v>
      </c>
      <c r="Y134">
        <v>33</v>
      </c>
    </row>
    <row r="135" spans="1:25" x14ac:dyDescent="0.25">
      <c r="A135">
        <v>0</v>
      </c>
      <c r="B135">
        <v>0.120842829700482</v>
      </c>
      <c r="C135">
        <v>0.11762701811085299</v>
      </c>
      <c r="D135">
        <v>0.120771602552352</v>
      </c>
      <c r="E135">
        <v>0.103236272781683</v>
      </c>
      <c r="F135">
        <v>0.1</v>
      </c>
      <c r="G135">
        <v>4.5670690671414196</v>
      </c>
      <c r="H135">
        <v>297.26555867557897</v>
      </c>
      <c r="I135">
        <v>297.81310379142599</v>
      </c>
      <c r="J135">
        <v>297.05038786303101</v>
      </c>
      <c r="K135">
        <v>297.04367991621399</v>
      </c>
      <c r="L135">
        <v>295.92587879767001</v>
      </c>
      <c r="M135">
        <v>300.15828124999899</v>
      </c>
      <c r="N135">
        <v>0.58078125000000003</v>
      </c>
      <c r="O135">
        <v>26174.7694049848</v>
      </c>
      <c r="Q135">
        <v>299.14999999999998</v>
      </c>
      <c r="R135">
        <f t="shared" si="13"/>
        <v>26</v>
      </c>
      <c r="S135">
        <f t="shared" si="14"/>
        <v>24.115558675578995</v>
      </c>
      <c r="T135">
        <f t="shared" si="15"/>
        <v>24.663103791426011</v>
      </c>
      <c r="U135">
        <f t="shared" si="16"/>
        <v>23.900387863031028</v>
      </c>
      <c r="V135">
        <f t="shared" si="17"/>
        <v>23.893679916214012</v>
      </c>
      <c r="W135">
        <f t="shared" si="18"/>
        <v>22.775878797670032</v>
      </c>
      <c r="Y135">
        <v>33.25</v>
      </c>
    </row>
    <row r="136" spans="1:25" x14ac:dyDescent="0.25">
      <c r="A136">
        <v>0</v>
      </c>
      <c r="B136">
        <v>0.119072091312035</v>
      </c>
      <c r="C136">
        <v>0.115750907910767</v>
      </c>
      <c r="D136">
        <v>0.11914214769270499</v>
      </c>
      <c r="E136">
        <v>0.101751365968598</v>
      </c>
      <c r="F136">
        <v>0.1</v>
      </c>
      <c r="G136">
        <v>4.5276184492317997</v>
      </c>
      <c r="H136">
        <v>297.33859593358397</v>
      </c>
      <c r="I136">
        <v>297.87118181644598</v>
      </c>
      <c r="J136">
        <v>297.09575730083498</v>
      </c>
      <c r="K136">
        <v>297.08104569325099</v>
      </c>
      <c r="L136">
        <v>295.95938007485802</v>
      </c>
      <c r="M136">
        <v>300.205416666666</v>
      </c>
      <c r="N136">
        <v>0.56437499999999996</v>
      </c>
      <c r="O136">
        <v>25411.341995602601</v>
      </c>
      <c r="Q136">
        <v>299.14999999999998</v>
      </c>
      <c r="R136">
        <f t="shared" si="13"/>
        <v>26</v>
      </c>
      <c r="S136">
        <f t="shared" si="14"/>
        <v>24.188595933583997</v>
      </c>
      <c r="T136">
        <f t="shared" si="15"/>
        <v>24.721181816446006</v>
      </c>
      <c r="U136">
        <f t="shared" si="16"/>
        <v>23.945757300834998</v>
      </c>
      <c r="V136">
        <f t="shared" si="17"/>
        <v>23.931045693251008</v>
      </c>
      <c r="W136">
        <f t="shared" si="18"/>
        <v>22.809380074858041</v>
      </c>
      <c r="Y136">
        <v>33.5</v>
      </c>
    </row>
    <row r="137" spans="1:25" x14ac:dyDescent="0.25">
      <c r="A137">
        <v>0</v>
      </c>
      <c r="B137">
        <v>0.11751472126796</v>
      </c>
      <c r="C137">
        <v>0.11338497479414</v>
      </c>
      <c r="D137">
        <v>0.11778165599021601</v>
      </c>
      <c r="E137">
        <v>0.100603894297735</v>
      </c>
      <c r="F137">
        <v>0.1</v>
      </c>
      <c r="G137">
        <v>4.5080835015446103</v>
      </c>
      <c r="H137">
        <v>297.40010951661799</v>
      </c>
      <c r="I137">
        <v>297.90773521143598</v>
      </c>
      <c r="J137">
        <v>297.12692175336099</v>
      </c>
      <c r="K137">
        <v>297.10415687928202</v>
      </c>
      <c r="L137">
        <v>295.97674930012499</v>
      </c>
      <c r="M137">
        <v>300.19984374999899</v>
      </c>
      <c r="N137">
        <v>0.55078125</v>
      </c>
      <c r="O137">
        <v>24752.375124860198</v>
      </c>
      <c r="Q137">
        <v>299.14999999999998</v>
      </c>
      <c r="R137">
        <f t="shared" si="13"/>
        <v>26</v>
      </c>
      <c r="S137">
        <f t="shared" si="14"/>
        <v>24.250109516618011</v>
      </c>
      <c r="T137">
        <f t="shared" si="15"/>
        <v>24.757735211436</v>
      </c>
      <c r="U137">
        <f t="shared" si="16"/>
        <v>23.976921753361012</v>
      </c>
      <c r="V137">
        <f t="shared" si="17"/>
        <v>23.954156879282039</v>
      </c>
      <c r="W137">
        <f t="shared" si="18"/>
        <v>22.826749300125016</v>
      </c>
      <c r="Y137">
        <v>33.75</v>
      </c>
    </row>
    <row r="138" spans="1:25" x14ac:dyDescent="0.25">
      <c r="A138">
        <v>0</v>
      </c>
      <c r="B138">
        <v>0.114281124730796</v>
      </c>
      <c r="C138">
        <v>0.109408350133764</v>
      </c>
      <c r="D138">
        <v>0.11474793354429901</v>
      </c>
      <c r="E138">
        <v>9.8072827611621505E-2</v>
      </c>
      <c r="F138">
        <v>0.1</v>
      </c>
      <c r="G138">
        <v>4.5323157127775104</v>
      </c>
      <c r="H138">
        <v>297.46516720927002</v>
      </c>
      <c r="I138">
        <v>297.93581649647001</v>
      </c>
      <c r="J138">
        <v>297.15979325825299</v>
      </c>
      <c r="K138">
        <v>297.12805570663602</v>
      </c>
      <c r="L138">
        <v>295.98747120540799</v>
      </c>
      <c r="M138">
        <v>300.349999999999</v>
      </c>
      <c r="N138">
        <v>0.54</v>
      </c>
      <c r="O138">
        <v>24536.131332938399</v>
      </c>
      <c r="Q138">
        <v>299.14999999999998</v>
      </c>
      <c r="R138">
        <f t="shared" si="13"/>
        <v>26</v>
      </c>
      <c r="S138">
        <f t="shared" si="14"/>
        <v>24.315167209270044</v>
      </c>
      <c r="T138">
        <f t="shared" si="15"/>
        <v>24.785816496470034</v>
      </c>
      <c r="U138">
        <f t="shared" si="16"/>
        <v>24.009793258253012</v>
      </c>
      <c r="V138">
        <f t="shared" si="17"/>
        <v>23.978055706636042</v>
      </c>
      <c r="W138">
        <f t="shared" si="18"/>
        <v>22.837471205408008</v>
      </c>
      <c r="Y138">
        <v>34</v>
      </c>
    </row>
    <row r="139" spans="1:25" x14ac:dyDescent="0.25">
      <c r="A139">
        <v>0</v>
      </c>
      <c r="B139">
        <v>0.11647078456740199</v>
      </c>
      <c r="C139">
        <v>0.11072098435665299</v>
      </c>
      <c r="D139">
        <v>0.116862434921923</v>
      </c>
      <c r="E139">
        <v>9.9912705295035695E-2</v>
      </c>
      <c r="F139">
        <v>0.1</v>
      </c>
      <c r="G139">
        <v>4.55104570367567</v>
      </c>
      <c r="H139">
        <v>297.52451825628202</v>
      </c>
      <c r="I139">
        <v>297.94850302328098</v>
      </c>
      <c r="J139">
        <v>297.18500272851298</v>
      </c>
      <c r="K139">
        <v>297.14530032320903</v>
      </c>
      <c r="L139">
        <v>295.99857163519601</v>
      </c>
      <c r="M139">
        <v>300.75953124999899</v>
      </c>
      <c r="N139">
        <v>0.53121093750000004</v>
      </c>
      <c r="O139">
        <v>24666.8639458281</v>
      </c>
      <c r="Q139">
        <v>299.14999999999998</v>
      </c>
      <c r="R139">
        <f t="shared" si="13"/>
        <v>26</v>
      </c>
      <c r="S139">
        <f t="shared" si="14"/>
        <v>24.374518256282045</v>
      </c>
      <c r="T139">
        <f t="shared" si="15"/>
        <v>24.798503023281</v>
      </c>
      <c r="U139">
        <f t="shared" si="16"/>
        <v>24.035002728513007</v>
      </c>
      <c r="V139">
        <f t="shared" si="17"/>
        <v>23.995300323209051</v>
      </c>
      <c r="W139">
        <f t="shared" si="18"/>
        <v>22.848571635196038</v>
      </c>
      <c r="Y139">
        <v>34.25</v>
      </c>
    </row>
    <row r="140" spans="1:25" x14ac:dyDescent="0.25">
      <c r="A140">
        <v>0</v>
      </c>
      <c r="B140">
        <v>0.11532512364630999</v>
      </c>
      <c r="C140">
        <v>0.10932331780907301</v>
      </c>
      <c r="D140">
        <v>0.11570915411485599</v>
      </c>
      <c r="E140">
        <v>9.9004311484029203E-2</v>
      </c>
      <c r="F140">
        <v>0.1</v>
      </c>
      <c r="G140">
        <v>4.5282129207683797</v>
      </c>
      <c r="H140">
        <v>297.59125337511199</v>
      </c>
      <c r="I140">
        <v>297.96033979367701</v>
      </c>
      <c r="J140">
        <v>297.21876956933602</v>
      </c>
      <c r="K140">
        <v>297.17173401953102</v>
      </c>
      <c r="L140">
        <v>296.01843647176298</v>
      </c>
      <c r="M140">
        <v>301.28625</v>
      </c>
      <c r="N140">
        <v>0.5234375</v>
      </c>
      <c r="O140">
        <v>24782.065439937702</v>
      </c>
      <c r="Q140">
        <v>299.14999999999998</v>
      </c>
      <c r="R140">
        <f t="shared" si="13"/>
        <v>26</v>
      </c>
      <c r="S140">
        <f t="shared" si="14"/>
        <v>24.441253375112012</v>
      </c>
      <c r="T140">
        <f t="shared" si="15"/>
        <v>24.810339793677031</v>
      </c>
      <c r="U140">
        <f t="shared" si="16"/>
        <v>24.068769569336041</v>
      </c>
      <c r="V140">
        <f t="shared" si="17"/>
        <v>24.021734019531038</v>
      </c>
      <c r="W140">
        <f t="shared" si="18"/>
        <v>22.868436471763005</v>
      </c>
      <c r="Y140">
        <v>34.5</v>
      </c>
    </row>
    <row r="141" spans="1:25" x14ac:dyDescent="0.25">
      <c r="A141">
        <v>0</v>
      </c>
      <c r="B141">
        <v>0.115481929571325</v>
      </c>
      <c r="C141">
        <v>0.10976822522016599</v>
      </c>
      <c r="D141">
        <v>0.115943771785574</v>
      </c>
      <c r="E141">
        <v>9.9241648463983007E-2</v>
      </c>
      <c r="F141">
        <v>0.1</v>
      </c>
      <c r="G141">
        <v>4.52474169846215</v>
      </c>
      <c r="H141">
        <v>297.65166562130702</v>
      </c>
      <c r="I141">
        <v>297.95649134612103</v>
      </c>
      <c r="J141">
        <v>297.244862746173</v>
      </c>
      <c r="K141">
        <v>297.18970462219897</v>
      </c>
      <c r="L141">
        <v>296.02749184852598</v>
      </c>
      <c r="M141">
        <v>301.76984374999898</v>
      </c>
      <c r="N141">
        <v>0.51644531250000003</v>
      </c>
      <c r="O141">
        <v>25040.883277781501</v>
      </c>
      <c r="Q141">
        <v>299.14999999999998</v>
      </c>
      <c r="R141">
        <f t="shared" si="13"/>
        <v>26</v>
      </c>
      <c r="S141">
        <f t="shared" si="14"/>
        <v>24.501665621307041</v>
      </c>
      <c r="T141">
        <f t="shared" si="15"/>
        <v>24.806491346121049</v>
      </c>
      <c r="U141">
        <f t="shared" si="16"/>
        <v>24.094862746173021</v>
      </c>
      <c r="V141">
        <f t="shared" si="17"/>
        <v>24.039704622198997</v>
      </c>
      <c r="W141">
        <f t="shared" si="18"/>
        <v>22.877491848526006</v>
      </c>
      <c r="Y141">
        <v>34.75</v>
      </c>
    </row>
    <row r="142" spans="1:25" x14ac:dyDescent="0.25">
      <c r="A142">
        <v>0</v>
      </c>
      <c r="B142">
        <v>0.115380275743936</v>
      </c>
      <c r="C142">
        <v>0.110641132949272</v>
      </c>
      <c r="D142">
        <v>0.11613944381422001</v>
      </c>
      <c r="E142">
        <v>9.93401253094853E-2</v>
      </c>
      <c r="F142">
        <v>0.1</v>
      </c>
      <c r="G142">
        <v>4.5373910324248996</v>
      </c>
      <c r="H142">
        <v>297.71343468857401</v>
      </c>
      <c r="I142">
        <v>297.94801406895698</v>
      </c>
      <c r="J142">
        <v>297.27177259631401</v>
      </c>
      <c r="K142">
        <v>297.20929110739098</v>
      </c>
      <c r="L142">
        <v>296.03844951557397</v>
      </c>
      <c r="M142">
        <v>302.04999999999899</v>
      </c>
      <c r="N142">
        <v>0.51</v>
      </c>
      <c r="O142">
        <v>25414.704882342499</v>
      </c>
      <c r="Q142">
        <v>299.14999999999998</v>
      </c>
      <c r="R142">
        <f t="shared" si="13"/>
        <v>26</v>
      </c>
      <c r="S142">
        <f t="shared" si="14"/>
        <v>24.563434688574034</v>
      </c>
      <c r="T142">
        <f t="shared" si="15"/>
        <v>24.798014068957002</v>
      </c>
      <c r="U142">
        <f t="shared" si="16"/>
        <v>24.121772596314031</v>
      </c>
      <c r="V142">
        <f t="shared" si="17"/>
        <v>24.059291107391005</v>
      </c>
      <c r="W142">
        <f t="shared" si="18"/>
        <v>22.888449515573996</v>
      </c>
      <c r="Y142">
        <v>35</v>
      </c>
    </row>
    <row r="143" spans="1:25" x14ac:dyDescent="0.25">
      <c r="A143">
        <v>0</v>
      </c>
      <c r="B143">
        <v>0.11347728487165799</v>
      </c>
      <c r="C143">
        <v>0.11040037199743</v>
      </c>
      <c r="D143">
        <v>0.114355346830777</v>
      </c>
      <c r="E143">
        <v>9.78899724403057E-2</v>
      </c>
      <c r="F143">
        <v>0.1</v>
      </c>
      <c r="G143">
        <v>4.5444905784297598</v>
      </c>
      <c r="H143">
        <v>297.77374378267098</v>
      </c>
      <c r="I143">
        <v>297.93347642432701</v>
      </c>
      <c r="J143">
        <v>297.298071821549</v>
      </c>
      <c r="K143">
        <v>297.228327573596</v>
      </c>
      <c r="L143">
        <v>296.04702225429003</v>
      </c>
      <c r="M143">
        <v>302.102201704545</v>
      </c>
      <c r="N143">
        <v>0.50289062500000004</v>
      </c>
      <c r="O143">
        <v>25417.569073766499</v>
      </c>
      <c r="Q143">
        <v>299.14999999999998</v>
      </c>
      <c r="R143">
        <f t="shared" si="13"/>
        <v>26</v>
      </c>
      <c r="S143">
        <f t="shared" si="14"/>
        <v>24.623743782670999</v>
      </c>
      <c r="T143">
        <f t="shared" si="15"/>
        <v>24.783476424327034</v>
      </c>
      <c r="U143">
        <f t="shared" si="16"/>
        <v>24.148071821549024</v>
      </c>
      <c r="V143">
        <f t="shared" si="17"/>
        <v>24.078327573596027</v>
      </c>
      <c r="W143">
        <f t="shared" si="18"/>
        <v>22.89702225429005</v>
      </c>
      <c r="Y143">
        <v>35.25</v>
      </c>
    </row>
    <row r="144" spans="1:25" x14ac:dyDescent="0.25">
      <c r="A144">
        <v>0</v>
      </c>
      <c r="B144">
        <v>0.117409127549449</v>
      </c>
      <c r="C144">
        <v>0.113856529687737</v>
      </c>
      <c r="D144">
        <v>0.11867482507143701</v>
      </c>
      <c r="E144">
        <v>0.10138327608077501</v>
      </c>
      <c r="F144">
        <v>0.1</v>
      </c>
      <c r="G144">
        <v>4.5438269178290804</v>
      </c>
      <c r="H144">
        <v>297.82146841263199</v>
      </c>
      <c r="I144">
        <v>297.90690749009099</v>
      </c>
      <c r="J144">
        <v>297.31134730057897</v>
      </c>
      <c r="K144">
        <v>297.23587518689601</v>
      </c>
      <c r="L144">
        <v>296.05520586025199</v>
      </c>
      <c r="M144">
        <v>302.064204545454</v>
      </c>
      <c r="N144">
        <v>0.49562499999999998</v>
      </c>
      <c r="O144">
        <v>25148.814746162101</v>
      </c>
      <c r="Q144">
        <v>299.14999999999998</v>
      </c>
      <c r="R144">
        <f t="shared" si="13"/>
        <v>26</v>
      </c>
      <c r="S144">
        <f t="shared" si="14"/>
        <v>24.671468412632009</v>
      </c>
      <c r="T144">
        <f t="shared" si="15"/>
        <v>24.75690749009101</v>
      </c>
      <c r="U144">
        <f t="shared" si="16"/>
        <v>24.161347300578996</v>
      </c>
      <c r="V144">
        <f t="shared" si="17"/>
        <v>24.085875186896033</v>
      </c>
      <c r="W144">
        <f t="shared" si="18"/>
        <v>22.905205860252011</v>
      </c>
      <c r="Y144">
        <v>35.5</v>
      </c>
    </row>
    <row r="145" spans="1:25" x14ac:dyDescent="0.25">
      <c r="A145">
        <v>0</v>
      </c>
      <c r="B145">
        <v>0.114994429416025</v>
      </c>
      <c r="C145">
        <v>0.111304313405872</v>
      </c>
      <c r="D145">
        <v>0.116747117654943</v>
      </c>
      <c r="E145">
        <v>9.9714029500294094E-2</v>
      </c>
      <c r="F145">
        <v>0.1</v>
      </c>
      <c r="G145">
        <v>4.5481435453132901</v>
      </c>
      <c r="H145">
        <v>297.87578107845098</v>
      </c>
      <c r="I145">
        <v>297.88782926057002</v>
      </c>
      <c r="J145">
        <v>297.33319510398502</v>
      </c>
      <c r="K145">
        <v>297.25134225121701</v>
      </c>
      <c r="L145">
        <v>296.06189496819798</v>
      </c>
      <c r="M145">
        <v>302.01910511363599</v>
      </c>
      <c r="N145">
        <v>0.49054687499999999</v>
      </c>
      <c r="O145">
        <v>24987.125708722298</v>
      </c>
      <c r="Q145">
        <v>299.14999999999998</v>
      </c>
      <c r="R145">
        <f t="shared" si="13"/>
        <v>26</v>
      </c>
      <c r="S145">
        <f t="shared" si="14"/>
        <v>24.725781078451007</v>
      </c>
      <c r="T145">
        <f t="shared" si="15"/>
        <v>24.737829260570038</v>
      </c>
      <c r="U145">
        <f t="shared" si="16"/>
        <v>24.183195103985042</v>
      </c>
      <c r="V145">
        <f t="shared" si="17"/>
        <v>24.101342251217034</v>
      </c>
      <c r="W145">
        <f t="shared" si="18"/>
        <v>22.911894968197998</v>
      </c>
      <c r="Y145">
        <v>35.75</v>
      </c>
    </row>
    <row r="146" spans="1:25" x14ac:dyDescent="0.25">
      <c r="A146">
        <v>0</v>
      </c>
      <c r="B146">
        <v>0.11357833181620799</v>
      </c>
      <c r="C146">
        <v>0.10956011908199199</v>
      </c>
      <c r="D146">
        <v>0.115793751441294</v>
      </c>
      <c r="E146">
        <v>9.9008107257635106E-2</v>
      </c>
      <c r="F146">
        <v>0.1</v>
      </c>
      <c r="G146">
        <v>4.52795687163613</v>
      </c>
      <c r="H146">
        <v>297.92604278335398</v>
      </c>
      <c r="I146">
        <v>297.87293270675099</v>
      </c>
      <c r="J146">
        <v>297.35242244130802</v>
      </c>
      <c r="K146">
        <v>297.26504159941697</v>
      </c>
      <c r="L146">
        <v>296.073018548969</v>
      </c>
      <c r="M146">
        <v>302.04999999999899</v>
      </c>
      <c r="N146">
        <v>0.49</v>
      </c>
      <c r="O146">
        <v>24707.632298385099</v>
      </c>
      <c r="Q146">
        <v>299.14999999999998</v>
      </c>
      <c r="R146">
        <f t="shared" si="13"/>
        <v>26</v>
      </c>
      <c r="S146">
        <f t="shared" si="14"/>
        <v>24.776042783354001</v>
      </c>
      <c r="T146">
        <f t="shared" si="15"/>
        <v>24.72293270675101</v>
      </c>
      <c r="U146">
        <f t="shared" si="16"/>
        <v>24.202422441308045</v>
      </c>
      <c r="V146">
        <f t="shared" si="17"/>
        <v>24.115041599416998</v>
      </c>
      <c r="W146">
        <f t="shared" si="18"/>
        <v>22.923018548969026</v>
      </c>
      <c r="Y146">
        <v>36</v>
      </c>
    </row>
    <row r="147" spans="1:25" x14ac:dyDescent="0.25">
      <c r="A147">
        <v>0</v>
      </c>
      <c r="B147">
        <v>0.11191053591717</v>
      </c>
      <c r="C147">
        <v>0.108141383909257</v>
      </c>
      <c r="D147">
        <v>0.114374388135875</v>
      </c>
      <c r="E147">
        <v>9.7994991942783896E-2</v>
      </c>
      <c r="F147">
        <v>0.1</v>
      </c>
      <c r="G147">
        <v>4.5418240743868097</v>
      </c>
      <c r="H147">
        <v>297.91583409634598</v>
      </c>
      <c r="I147">
        <v>297.80675864570497</v>
      </c>
      <c r="J147">
        <v>297.31141639220999</v>
      </c>
      <c r="K147">
        <v>297.223141822434</v>
      </c>
      <c r="L147">
        <v>296.02125396349902</v>
      </c>
      <c r="M147">
        <v>302.18245738636301</v>
      </c>
      <c r="N147">
        <v>0.49249999999999999</v>
      </c>
      <c r="O147">
        <v>24822.895356721801</v>
      </c>
      <c r="Q147">
        <v>299.14999999999998</v>
      </c>
      <c r="R147">
        <f t="shared" si="13"/>
        <v>26</v>
      </c>
      <c r="S147">
        <f t="shared" si="14"/>
        <v>24.765834096345998</v>
      </c>
      <c r="T147">
        <f t="shared" si="15"/>
        <v>24.656758645704997</v>
      </c>
      <c r="U147">
        <f t="shared" si="16"/>
        <v>24.161416392210015</v>
      </c>
      <c r="V147">
        <f t="shared" si="17"/>
        <v>24.073141822434025</v>
      </c>
      <c r="W147">
        <f t="shared" si="18"/>
        <v>22.871253963499043</v>
      </c>
      <c r="Y147">
        <v>36.25</v>
      </c>
    </row>
    <row r="148" spans="1:25" x14ac:dyDescent="0.25">
      <c r="A148">
        <v>0</v>
      </c>
      <c r="B148">
        <v>0.109969581624387</v>
      </c>
      <c r="C148">
        <v>0.107136558365917</v>
      </c>
      <c r="D148">
        <v>0.112158138414967</v>
      </c>
      <c r="E148">
        <v>9.6216307443013002E-2</v>
      </c>
      <c r="F148">
        <v>0.1</v>
      </c>
      <c r="G148">
        <v>4.5076105545185596</v>
      </c>
      <c r="H148">
        <v>297.96113473916199</v>
      </c>
      <c r="I148">
        <v>297.80085172920201</v>
      </c>
      <c r="J148">
        <v>297.33258929989</v>
      </c>
      <c r="K148">
        <v>297.24939109046801</v>
      </c>
      <c r="L148">
        <v>296.036655548309</v>
      </c>
      <c r="M148">
        <v>302.348295454545</v>
      </c>
      <c r="N148">
        <v>0.495</v>
      </c>
      <c r="O148">
        <v>24711.759524008699</v>
      </c>
      <c r="Q148">
        <v>299.14999999999998</v>
      </c>
      <c r="R148">
        <f t="shared" si="13"/>
        <v>26</v>
      </c>
      <c r="S148">
        <f t="shared" si="14"/>
        <v>24.811134739162014</v>
      </c>
      <c r="T148">
        <f t="shared" si="15"/>
        <v>24.650851729202031</v>
      </c>
      <c r="U148">
        <f t="shared" si="16"/>
        <v>24.182589299890026</v>
      </c>
      <c r="V148">
        <f t="shared" si="17"/>
        <v>24.099391090468032</v>
      </c>
      <c r="W148">
        <f t="shared" si="18"/>
        <v>22.886655548309022</v>
      </c>
      <c r="Y148">
        <v>36.5</v>
      </c>
    </row>
    <row r="149" spans="1:25" x14ac:dyDescent="0.25">
      <c r="A149">
        <v>0</v>
      </c>
      <c r="B149">
        <v>0.109856919563497</v>
      </c>
      <c r="C149">
        <v>0.10780695282759201</v>
      </c>
      <c r="D149">
        <v>0.112259809612857</v>
      </c>
      <c r="E149">
        <v>9.6189647732504602E-2</v>
      </c>
      <c r="F149">
        <v>0.1</v>
      </c>
      <c r="G149">
        <v>4.5174322256498298</v>
      </c>
      <c r="H149">
        <v>297.98790625532598</v>
      </c>
      <c r="I149">
        <v>297.77944973523398</v>
      </c>
      <c r="J149">
        <v>297.338169871182</v>
      </c>
      <c r="K149">
        <v>297.26865979935002</v>
      </c>
      <c r="L149">
        <v>296.029347365202</v>
      </c>
      <c r="M149">
        <v>302.489985795454</v>
      </c>
      <c r="N149">
        <v>0.4975</v>
      </c>
      <c r="O149">
        <v>24975.645976806401</v>
      </c>
      <c r="Q149">
        <v>299.14999999999998</v>
      </c>
      <c r="R149">
        <f t="shared" si="13"/>
        <v>26</v>
      </c>
      <c r="S149">
        <f t="shared" si="14"/>
        <v>24.837906255326004</v>
      </c>
      <c r="T149">
        <f t="shared" si="15"/>
        <v>24.629449735234004</v>
      </c>
      <c r="U149">
        <f t="shared" si="16"/>
        <v>24.188169871182026</v>
      </c>
      <c r="V149">
        <f t="shared" si="17"/>
        <v>24.118659799350041</v>
      </c>
      <c r="W149">
        <f t="shared" si="18"/>
        <v>22.879347365202023</v>
      </c>
      <c r="Y149">
        <v>36.75</v>
      </c>
    </row>
    <row r="150" spans="1:25" x14ac:dyDescent="0.25">
      <c r="A150">
        <v>0</v>
      </c>
      <c r="B150">
        <v>0.109929970587527</v>
      </c>
      <c r="C150">
        <v>0.108538664881372</v>
      </c>
      <c r="D150">
        <v>0.11243783346938099</v>
      </c>
      <c r="E150">
        <v>9.6281428914868697E-2</v>
      </c>
      <c r="F150">
        <v>0.1</v>
      </c>
      <c r="G150">
        <v>4.5221898685451496</v>
      </c>
      <c r="H150">
        <v>298.02358170226501</v>
      </c>
      <c r="I150">
        <v>297.772829140569</v>
      </c>
      <c r="J150">
        <v>297.35578429626798</v>
      </c>
      <c r="K150">
        <v>297.308469784598</v>
      </c>
      <c r="L150">
        <v>296.03984254097702</v>
      </c>
      <c r="M150">
        <v>302.54999999999899</v>
      </c>
      <c r="N150">
        <v>0.5</v>
      </c>
      <c r="O150">
        <v>25140.6552309863</v>
      </c>
      <c r="Q150">
        <v>299.14999999999998</v>
      </c>
      <c r="R150">
        <f t="shared" si="13"/>
        <v>26</v>
      </c>
      <c r="S150">
        <f t="shared" si="14"/>
        <v>24.873581702265028</v>
      </c>
      <c r="T150">
        <f t="shared" si="15"/>
        <v>24.622829140569024</v>
      </c>
      <c r="U150">
        <f t="shared" si="16"/>
        <v>24.205784296268007</v>
      </c>
      <c r="V150">
        <f t="shared" si="17"/>
        <v>24.158469784598026</v>
      </c>
      <c r="W150">
        <f t="shared" si="18"/>
        <v>22.889842540977043</v>
      </c>
      <c r="Y150">
        <v>37</v>
      </c>
    </row>
    <row r="151" spans="1:25" x14ac:dyDescent="0.25">
      <c r="A151">
        <v>0</v>
      </c>
      <c r="B151">
        <v>0.10967501663028401</v>
      </c>
      <c r="C151">
        <v>0.108686053234807</v>
      </c>
      <c r="D151">
        <v>0.11235842060260599</v>
      </c>
      <c r="E151">
        <v>9.6181541379511501E-2</v>
      </c>
      <c r="F151">
        <v>0.1</v>
      </c>
      <c r="G151">
        <v>4.5152369688611103</v>
      </c>
      <c r="H151">
        <v>298.16482188492103</v>
      </c>
      <c r="I151">
        <v>297.872019921299</v>
      </c>
      <c r="J151">
        <v>297.489624989643</v>
      </c>
      <c r="K151">
        <v>297.46397942685701</v>
      </c>
      <c r="L151">
        <v>296.15691114377199</v>
      </c>
      <c r="M151">
        <v>302.54999999999899</v>
      </c>
      <c r="N151">
        <v>0.50249999999999995</v>
      </c>
      <c r="O151">
        <v>25409.1997811607</v>
      </c>
      <c r="Q151">
        <v>299.14999999999998</v>
      </c>
      <c r="R151">
        <f t="shared" si="13"/>
        <v>26</v>
      </c>
      <c r="S151">
        <f t="shared" si="14"/>
        <v>25.014821884921048</v>
      </c>
      <c r="T151">
        <f t="shared" si="15"/>
        <v>24.722019921299022</v>
      </c>
      <c r="U151">
        <f t="shared" si="16"/>
        <v>24.339624989643028</v>
      </c>
      <c r="V151">
        <f t="shared" si="17"/>
        <v>24.313979426857031</v>
      </c>
      <c r="W151">
        <f t="shared" si="18"/>
        <v>23.006911143772015</v>
      </c>
      <c r="Y151">
        <v>37.25</v>
      </c>
    </row>
    <row r="152" spans="1:25" x14ac:dyDescent="0.25">
      <c r="A152">
        <v>0</v>
      </c>
      <c r="B152">
        <v>0.10928308196137899</v>
      </c>
      <c r="C152">
        <v>0.108509315566966</v>
      </c>
      <c r="D152">
        <v>0.11217797706713301</v>
      </c>
      <c r="E152">
        <v>9.6011215041137299E-2</v>
      </c>
      <c r="F152">
        <v>0.1</v>
      </c>
      <c r="G152">
        <v>4.52073309733965</v>
      </c>
      <c r="H152">
        <v>298.20801923930799</v>
      </c>
      <c r="I152">
        <v>297.88237119389902</v>
      </c>
      <c r="J152">
        <v>297.52150242337501</v>
      </c>
      <c r="K152">
        <v>297.53264185992498</v>
      </c>
      <c r="L152">
        <v>296.18102994358401</v>
      </c>
      <c r="M152">
        <v>302.54999999999899</v>
      </c>
      <c r="N152">
        <v>0.505</v>
      </c>
      <c r="O152">
        <v>25583.3470161492</v>
      </c>
      <c r="Q152">
        <v>299.14999999999998</v>
      </c>
      <c r="R152">
        <f t="shared" si="13"/>
        <v>26</v>
      </c>
      <c r="S152">
        <f t="shared" si="14"/>
        <v>25.05801923930801</v>
      </c>
      <c r="T152">
        <f t="shared" si="15"/>
        <v>24.732371193899041</v>
      </c>
      <c r="U152">
        <f t="shared" si="16"/>
        <v>24.371502423375034</v>
      </c>
      <c r="V152">
        <f t="shared" si="17"/>
        <v>24.382641859925002</v>
      </c>
      <c r="W152">
        <f t="shared" si="18"/>
        <v>23.031029943584031</v>
      </c>
      <c r="Y152">
        <v>37.5</v>
      </c>
    </row>
    <row r="153" spans="1:25" x14ac:dyDescent="0.25">
      <c r="A153">
        <v>0</v>
      </c>
      <c r="B153">
        <v>0.10921706988980801</v>
      </c>
      <c r="C153">
        <v>0.10824195546243701</v>
      </c>
      <c r="D153">
        <v>0.111982457877512</v>
      </c>
      <c r="E153">
        <v>9.58842144404808E-2</v>
      </c>
      <c r="F153">
        <v>0.1</v>
      </c>
      <c r="G153">
        <v>4.5132769013645397</v>
      </c>
      <c r="H153">
        <v>298.23894844927202</v>
      </c>
      <c r="I153">
        <v>297.88540505048098</v>
      </c>
      <c r="J153">
        <v>297.54532265830898</v>
      </c>
      <c r="K153">
        <v>297.59973777594001</v>
      </c>
      <c r="L153">
        <v>296.19726754475602</v>
      </c>
      <c r="M153">
        <v>302.54999999999899</v>
      </c>
      <c r="N153">
        <v>0.50749999999999995</v>
      </c>
      <c r="O153">
        <v>25644.3873331125</v>
      </c>
      <c r="Q153">
        <v>299.14999999999998</v>
      </c>
      <c r="R153">
        <f t="shared" si="13"/>
        <v>26</v>
      </c>
      <c r="S153">
        <f t="shared" si="14"/>
        <v>25.088948449272038</v>
      </c>
      <c r="T153">
        <f t="shared" si="15"/>
        <v>24.735405050481006</v>
      </c>
      <c r="U153">
        <f t="shared" si="16"/>
        <v>24.395322658308999</v>
      </c>
      <c r="V153">
        <f t="shared" si="17"/>
        <v>24.449737775940036</v>
      </c>
      <c r="W153">
        <f t="shared" si="18"/>
        <v>23.047267544756039</v>
      </c>
      <c r="Y153">
        <v>37.75</v>
      </c>
    </row>
    <row r="154" spans="1:25" x14ac:dyDescent="0.25">
      <c r="A154">
        <v>0</v>
      </c>
      <c r="B154">
        <v>0.10859883696633001</v>
      </c>
      <c r="C154">
        <v>0.10752581543185299</v>
      </c>
      <c r="D154">
        <v>0.111481020770353</v>
      </c>
      <c r="E154">
        <v>9.5364589905440403E-2</v>
      </c>
      <c r="F154">
        <v>0.1</v>
      </c>
      <c r="G154">
        <v>4.5181901990778099</v>
      </c>
      <c r="H154">
        <v>298.26799876759299</v>
      </c>
      <c r="I154">
        <v>297.89191948658498</v>
      </c>
      <c r="J154">
        <v>297.57091627502501</v>
      </c>
      <c r="K154">
        <v>297.67462615792999</v>
      </c>
      <c r="L154">
        <v>296.21677135934999</v>
      </c>
      <c r="M154">
        <v>302.54999999999899</v>
      </c>
      <c r="N154">
        <v>0.51</v>
      </c>
      <c r="O154">
        <v>25809.6951832835</v>
      </c>
      <c r="Q154">
        <v>299.14999999999998</v>
      </c>
      <c r="R154">
        <f t="shared" si="13"/>
        <v>26</v>
      </c>
      <c r="S154">
        <f t="shared" si="14"/>
        <v>25.117998767593008</v>
      </c>
      <c r="T154">
        <f t="shared" si="15"/>
        <v>24.741919486585005</v>
      </c>
      <c r="U154">
        <f t="shared" si="16"/>
        <v>24.420916275025036</v>
      </c>
      <c r="V154">
        <f t="shared" si="17"/>
        <v>24.524626157930015</v>
      </c>
      <c r="W154">
        <f t="shared" si="18"/>
        <v>23.066771359350014</v>
      </c>
      <c r="Y154">
        <v>38</v>
      </c>
    </row>
    <row r="155" spans="1:25" x14ac:dyDescent="0.25">
      <c r="A155">
        <v>0</v>
      </c>
      <c r="B155">
        <v>0.10872622473078999</v>
      </c>
      <c r="C155">
        <v>0.107172517496155</v>
      </c>
      <c r="D155">
        <v>0.111207084488381</v>
      </c>
      <c r="E155">
        <v>9.4970273723785803E-2</v>
      </c>
      <c r="F155">
        <v>0.1</v>
      </c>
      <c r="G155">
        <v>4.5110535721096499</v>
      </c>
      <c r="H155">
        <v>298.287140642439</v>
      </c>
      <c r="I155">
        <v>297.89252793658602</v>
      </c>
      <c r="J155">
        <v>297.59061785162902</v>
      </c>
      <c r="K155">
        <v>297.74881446552098</v>
      </c>
      <c r="L155">
        <v>296.23083854639401</v>
      </c>
      <c r="M155">
        <v>302.54999999999899</v>
      </c>
      <c r="N155">
        <v>0.51046875000000003</v>
      </c>
      <c r="O155">
        <v>25847.024804583099</v>
      </c>
      <c r="Q155">
        <v>299.14999999999998</v>
      </c>
      <c r="R155">
        <f t="shared" si="13"/>
        <v>26</v>
      </c>
      <c r="S155">
        <f t="shared" si="14"/>
        <v>25.137140642439022</v>
      </c>
      <c r="T155">
        <f t="shared" si="15"/>
        <v>24.742527936586043</v>
      </c>
      <c r="U155">
        <f t="shared" si="16"/>
        <v>24.440617851629042</v>
      </c>
      <c r="V155">
        <f t="shared" si="17"/>
        <v>24.598814465521002</v>
      </c>
      <c r="W155">
        <f t="shared" si="18"/>
        <v>23.080838546394034</v>
      </c>
      <c r="Y155">
        <v>38.25</v>
      </c>
    </row>
    <row r="156" spans="1:25" x14ac:dyDescent="0.25">
      <c r="A156">
        <v>0</v>
      </c>
      <c r="B156">
        <v>0.109780975209188</v>
      </c>
      <c r="C156">
        <v>0.10722662801294</v>
      </c>
      <c r="D156">
        <v>0.11120770240004001</v>
      </c>
      <c r="E156">
        <v>9.4773418277827995E-2</v>
      </c>
      <c r="F156">
        <v>0.1</v>
      </c>
      <c r="G156">
        <v>4.5178791438941799</v>
      </c>
      <c r="H156">
        <v>298.303331669182</v>
      </c>
      <c r="I156">
        <v>297.89557296224098</v>
      </c>
      <c r="J156">
        <v>297.61138059528798</v>
      </c>
      <c r="K156">
        <v>297.82865649476503</v>
      </c>
      <c r="L156">
        <v>296.248752024022</v>
      </c>
      <c r="M156">
        <v>302.54999999999899</v>
      </c>
      <c r="N156">
        <v>0.50875000000000004</v>
      </c>
      <c r="O156">
        <v>25874.6444588214</v>
      </c>
      <c r="Q156">
        <v>299.14999999999998</v>
      </c>
      <c r="R156">
        <f t="shared" si="13"/>
        <v>26</v>
      </c>
      <c r="S156">
        <f t="shared" si="14"/>
        <v>25.153331669182023</v>
      </c>
      <c r="T156">
        <f t="shared" si="15"/>
        <v>24.745572962240999</v>
      </c>
      <c r="U156">
        <f t="shared" si="16"/>
        <v>24.461380595288006</v>
      </c>
      <c r="V156">
        <f t="shared" si="17"/>
        <v>24.67865649476505</v>
      </c>
      <c r="W156">
        <f t="shared" si="18"/>
        <v>23.098752024022019</v>
      </c>
      <c r="Y156">
        <v>38.5</v>
      </c>
    </row>
    <row r="157" spans="1:25" x14ac:dyDescent="0.25">
      <c r="A157">
        <v>0</v>
      </c>
      <c r="B157">
        <v>0.110046400402287</v>
      </c>
      <c r="C157">
        <v>0.107171271199738</v>
      </c>
      <c r="D157">
        <v>0.111056819316111</v>
      </c>
      <c r="E157">
        <v>9.4335023097452897E-2</v>
      </c>
      <c r="F157">
        <v>0.1</v>
      </c>
      <c r="G157">
        <v>4.5111576356174297</v>
      </c>
      <c r="H157">
        <v>298.31118683955498</v>
      </c>
      <c r="I157">
        <v>297.89427178494901</v>
      </c>
      <c r="J157">
        <v>297.62792291456401</v>
      </c>
      <c r="K157">
        <v>297.90445877803597</v>
      </c>
      <c r="L157">
        <v>296.261133261098</v>
      </c>
      <c r="M157">
        <v>302.54999999999899</v>
      </c>
      <c r="N157">
        <v>0.50765625000000003</v>
      </c>
      <c r="O157">
        <v>25817.875444335099</v>
      </c>
      <c r="Q157">
        <v>299.14999999999998</v>
      </c>
      <c r="R157">
        <f t="shared" si="13"/>
        <v>26</v>
      </c>
      <c r="S157">
        <f t="shared" si="14"/>
        <v>25.161186839555</v>
      </c>
      <c r="T157">
        <f t="shared" si="15"/>
        <v>24.744271784949035</v>
      </c>
      <c r="U157">
        <f t="shared" si="16"/>
        <v>24.477922914564033</v>
      </c>
      <c r="V157">
        <f t="shared" si="17"/>
        <v>24.754458778035996</v>
      </c>
      <c r="W157">
        <f t="shared" si="18"/>
        <v>23.111133261098018</v>
      </c>
      <c r="Y157">
        <v>38.75</v>
      </c>
    </row>
    <row r="158" spans="1:25" x14ac:dyDescent="0.25">
      <c r="A158">
        <v>0</v>
      </c>
      <c r="B158">
        <v>0.110356648170989</v>
      </c>
      <c r="C158">
        <v>0.107285100524268</v>
      </c>
      <c r="D158">
        <v>0.111109097374542</v>
      </c>
      <c r="E158">
        <v>9.4114720326635606E-2</v>
      </c>
      <c r="F158">
        <v>0.1</v>
      </c>
      <c r="G158">
        <v>4.5177270761552304</v>
      </c>
      <c r="H158">
        <v>298.31751370935001</v>
      </c>
      <c r="I158">
        <v>297.89629459446002</v>
      </c>
      <c r="J158">
        <v>297.646540817134</v>
      </c>
      <c r="K158">
        <v>297.98323145210901</v>
      </c>
      <c r="L158">
        <v>296.27735220179397</v>
      </c>
      <c r="M158">
        <v>302.54999999999899</v>
      </c>
      <c r="N158">
        <v>0.51</v>
      </c>
      <c r="O158">
        <v>25879.087761531999</v>
      </c>
      <c r="Q158">
        <v>299.14999999999998</v>
      </c>
      <c r="R158">
        <f t="shared" si="13"/>
        <v>26</v>
      </c>
      <c r="S158">
        <f t="shared" si="14"/>
        <v>25.167513709350033</v>
      </c>
      <c r="T158">
        <f t="shared" si="15"/>
        <v>24.746294594460039</v>
      </c>
      <c r="U158">
        <f t="shared" si="16"/>
        <v>24.496540817134019</v>
      </c>
      <c r="V158">
        <f t="shared" si="17"/>
        <v>24.833231452109032</v>
      </c>
      <c r="W158">
        <f t="shared" si="18"/>
        <v>23.127352201793997</v>
      </c>
      <c r="Y158">
        <v>39</v>
      </c>
    </row>
    <row r="159" spans="1:25" x14ac:dyDescent="0.25">
      <c r="A159">
        <v>0</v>
      </c>
      <c r="B159">
        <v>0.11007908190904001</v>
      </c>
      <c r="C159">
        <v>0.107395599750279</v>
      </c>
      <c r="D159">
        <v>0.111159702261211</v>
      </c>
      <c r="E159">
        <v>9.3897073806502404E-2</v>
      </c>
      <c r="F159">
        <v>0.1</v>
      </c>
      <c r="G159">
        <v>4.5110737679220101</v>
      </c>
      <c r="H159">
        <v>298.316025860911</v>
      </c>
      <c r="I159">
        <v>297.89333769257098</v>
      </c>
      <c r="J159">
        <v>297.660285526667</v>
      </c>
      <c r="K159">
        <v>298.05573250575998</v>
      </c>
      <c r="L159">
        <v>296.28776937167999</v>
      </c>
      <c r="M159">
        <v>302.54999999999899</v>
      </c>
      <c r="N159">
        <v>0.51500000000000001</v>
      </c>
      <c r="O159">
        <v>25929.8313568386</v>
      </c>
      <c r="Q159">
        <v>299.14999999999998</v>
      </c>
      <c r="R159">
        <f t="shared" si="13"/>
        <v>26</v>
      </c>
      <c r="S159">
        <f t="shared" si="14"/>
        <v>25.16602586091102</v>
      </c>
      <c r="T159">
        <f t="shared" si="15"/>
        <v>24.743337692571004</v>
      </c>
      <c r="U159">
        <f t="shared" si="16"/>
        <v>24.510285526667019</v>
      </c>
      <c r="V159">
        <f t="shared" si="17"/>
        <v>24.90573250576</v>
      </c>
      <c r="W159">
        <f t="shared" si="18"/>
        <v>23.137769371680008</v>
      </c>
      <c r="Y159">
        <v>39.25</v>
      </c>
    </row>
    <row r="160" spans="1:25" x14ac:dyDescent="0.25">
      <c r="A160">
        <v>0</v>
      </c>
      <c r="B160">
        <v>0.11002642894686999</v>
      </c>
      <c r="C160">
        <v>0.10758983781263499</v>
      </c>
      <c r="D160">
        <v>0.11129299925724299</v>
      </c>
      <c r="E160">
        <v>9.3698132272335297E-2</v>
      </c>
      <c r="F160">
        <v>0.1</v>
      </c>
      <c r="G160">
        <v>4.5175833940225001</v>
      </c>
      <c r="H160">
        <v>298.31374703350599</v>
      </c>
      <c r="I160">
        <v>297.89338986402203</v>
      </c>
      <c r="J160">
        <v>297.67582470507</v>
      </c>
      <c r="K160">
        <v>298.12953326000502</v>
      </c>
      <c r="L160">
        <v>296.30183019212302</v>
      </c>
      <c r="M160">
        <v>302.54999999999899</v>
      </c>
      <c r="N160">
        <v>0.52</v>
      </c>
      <c r="O160">
        <v>26074.2065199729</v>
      </c>
      <c r="Q160">
        <v>299.14999999999998</v>
      </c>
      <c r="R160">
        <f t="shared" si="13"/>
        <v>26</v>
      </c>
      <c r="S160">
        <f t="shared" si="14"/>
        <v>25.163747033506013</v>
      </c>
      <c r="T160">
        <f t="shared" si="15"/>
        <v>24.743389864022049</v>
      </c>
      <c r="U160">
        <f t="shared" si="16"/>
        <v>24.525824705070022</v>
      </c>
      <c r="V160">
        <f t="shared" si="17"/>
        <v>24.979533260005041</v>
      </c>
      <c r="W160">
        <f t="shared" si="18"/>
        <v>23.151830192123043</v>
      </c>
      <c r="Y160">
        <v>39.5</v>
      </c>
    </row>
    <row r="161" spans="1:25" x14ac:dyDescent="0.25">
      <c r="A161">
        <v>0</v>
      </c>
      <c r="B161">
        <v>0.110207711674954</v>
      </c>
      <c r="C161">
        <v>0.107709898368247</v>
      </c>
      <c r="D161">
        <v>0.11137004685511</v>
      </c>
      <c r="E161">
        <v>9.3505346053937899E-2</v>
      </c>
      <c r="F161">
        <v>0.1</v>
      </c>
      <c r="G161">
        <v>4.5112168390842902</v>
      </c>
      <c r="H161">
        <v>298.303441012718</v>
      </c>
      <c r="I161">
        <v>297.88831333692099</v>
      </c>
      <c r="J161">
        <v>297.686272024456</v>
      </c>
      <c r="K161">
        <v>298.195883613261</v>
      </c>
      <c r="L161">
        <v>296.31008213902402</v>
      </c>
      <c r="M161">
        <v>302.54999999999899</v>
      </c>
      <c r="N161">
        <v>0.52500000000000002</v>
      </c>
      <c r="O161">
        <v>26138.420779925102</v>
      </c>
      <c r="Q161">
        <v>299.14999999999998</v>
      </c>
      <c r="R161">
        <f t="shared" si="13"/>
        <v>26</v>
      </c>
      <c r="S161">
        <f t="shared" si="14"/>
        <v>25.153441012718019</v>
      </c>
      <c r="T161">
        <f t="shared" si="15"/>
        <v>24.73831333692101</v>
      </c>
      <c r="U161">
        <f t="shared" si="16"/>
        <v>24.536272024456025</v>
      </c>
      <c r="V161">
        <f t="shared" si="17"/>
        <v>25.045883613261026</v>
      </c>
      <c r="W161">
        <f t="shared" si="18"/>
        <v>23.160082139024041</v>
      </c>
      <c r="Y161">
        <v>39.75</v>
      </c>
    </row>
    <row r="162" spans="1:25" x14ac:dyDescent="0.25">
      <c r="A162">
        <v>0</v>
      </c>
      <c r="B162">
        <v>0.11022063435735301</v>
      </c>
      <c r="C162">
        <v>0.107847962937174</v>
      </c>
      <c r="D162">
        <v>0.11144510311773601</v>
      </c>
      <c r="E162">
        <v>9.3621670760803605E-2</v>
      </c>
      <c r="F162">
        <v>0.1</v>
      </c>
      <c r="G162">
        <v>4.5178708986680904</v>
      </c>
      <c r="H162">
        <v>298.293499041144</v>
      </c>
      <c r="I162">
        <v>297.88585035219501</v>
      </c>
      <c r="J162">
        <v>297.69816903211603</v>
      </c>
      <c r="K162">
        <v>298.25939886088599</v>
      </c>
      <c r="L162">
        <v>296.32168264125801</v>
      </c>
      <c r="M162">
        <v>302.54999999999899</v>
      </c>
      <c r="N162">
        <v>0.53</v>
      </c>
      <c r="O162">
        <v>26388.1990617009</v>
      </c>
      <c r="Q162">
        <v>299.14999999999998</v>
      </c>
      <c r="R162">
        <f t="shared" si="13"/>
        <v>26</v>
      </c>
      <c r="S162">
        <f t="shared" si="14"/>
        <v>25.143499041144025</v>
      </c>
      <c r="T162">
        <f t="shared" si="15"/>
        <v>24.73585035219503</v>
      </c>
      <c r="U162">
        <f t="shared" si="16"/>
        <v>24.54816903211605</v>
      </c>
      <c r="V162">
        <f t="shared" si="17"/>
        <v>25.109398860886017</v>
      </c>
      <c r="W162">
        <f t="shared" si="18"/>
        <v>23.17168264125803</v>
      </c>
      <c r="Y162">
        <v>40</v>
      </c>
    </row>
    <row r="163" spans="1:25" x14ac:dyDescent="0.25">
      <c r="A163">
        <v>0</v>
      </c>
      <c r="B163">
        <v>0.110061880611682</v>
      </c>
      <c r="C163">
        <v>0.107881272907766</v>
      </c>
      <c r="D163">
        <v>0.111423720213592</v>
      </c>
      <c r="E163">
        <v>9.4216712310628795E-2</v>
      </c>
      <c r="F163">
        <v>0.1</v>
      </c>
      <c r="G163">
        <v>4.51163285065432</v>
      </c>
      <c r="H163">
        <v>298.27761388827003</v>
      </c>
      <c r="I163">
        <v>297.87688505954702</v>
      </c>
      <c r="J163">
        <v>297.70349837574997</v>
      </c>
      <c r="K163">
        <v>298.30872030761498</v>
      </c>
      <c r="L163">
        <v>296.32628128137998</v>
      </c>
      <c r="M163">
        <v>302.52088068181803</v>
      </c>
      <c r="N163">
        <v>0.53500000000000003</v>
      </c>
      <c r="O163">
        <v>26555.407427418999</v>
      </c>
      <c r="Q163">
        <v>299.14999999999998</v>
      </c>
      <c r="R163">
        <f t="shared" si="13"/>
        <v>26</v>
      </c>
      <c r="S163">
        <f t="shared" si="14"/>
        <v>25.127613888270048</v>
      </c>
      <c r="T163">
        <f t="shared" si="15"/>
        <v>24.726885059547044</v>
      </c>
      <c r="U163">
        <f t="shared" si="16"/>
        <v>24.553498375749996</v>
      </c>
      <c r="V163">
        <f t="shared" si="17"/>
        <v>25.158720307614999</v>
      </c>
      <c r="W163">
        <f t="shared" si="18"/>
        <v>23.17628128138</v>
      </c>
      <c r="Y163">
        <v>40.25</v>
      </c>
    </row>
    <row r="164" spans="1:25" x14ac:dyDescent="0.25">
      <c r="A164">
        <v>0</v>
      </c>
      <c r="B164">
        <v>0.109780501953874</v>
      </c>
      <c r="C164">
        <v>0.107939874955588</v>
      </c>
      <c r="D164">
        <v>0.11142619149805599</v>
      </c>
      <c r="E164">
        <v>9.5624991486446598E-2</v>
      </c>
      <c r="F164">
        <v>0.1</v>
      </c>
      <c r="G164">
        <v>4.5186875820715402</v>
      </c>
      <c r="H164">
        <v>298.26660135174097</v>
      </c>
      <c r="I164">
        <v>297.87101298719199</v>
      </c>
      <c r="J164">
        <v>297.71064149641802</v>
      </c>
      <c r="K164">
        <v>298.35772732571797</v>
      </c>
      <c r="L164">
        <v>296.33498404507401</v>
      </c>
      <c r="M164">
        <v>302.43068181818097</v>
      </c>
      <c r="N164">
        <v>0.54</v>
      </c>
      <c r="O164">
        <v>26693.886889619502</v>
      </c>
      <c r="Q164">
        <v>299.14999999999998</v>
      </c>
      <c r="R164">
        <f t="shared" si="13"/>
        <v>26</v>
      </c>
      <c r="S164">
        <f t="shared" si="14"/>
        <v>25.116601351740997</v>
      </c>
      <c r="T164">
        <f t="shared" si="15"/>
        <v>24.721012987192012</v>
      </c>
      <c r="U164">
        <f t="shared" si="16"/>
        <v>24.560641496418043</v>
      </c>
      <c r="V164">
        <f t="shared" si="17"/>
        <v>25.207727325717997</v>
      </c>
      <c r="W164">
        <f t="shared" si="18"/>
        <v>23.184984045074032</v>
      </c>
      <c r="Y164">
        <v>40.5</v>
      </c>
    </row>
    <row r="165" spans="1:25" x14ac:dyDescent="0.25">
      <c r="A165">
        <v>0</v>
      </c>
      <c r="B165">
        <v>0.109392252460667</v>
      </c>
      <c r="C165">
        <v>0.107947165426347</v>
      </c>
      <c r="D165">
        <v>0.11137089376520699</v>
      </c>
      <c r="E165">
        <v>9.7770765537157106E-2</v>
      </c>
      <c r="F165">
        <v>0.1</v>
      </c>
      <c r="G165">
        <v>4.5131401902403603</v>
      </c>
      <c r="H165">
        <v>298.25245915372102</v>
      </c>
      <c r="I165">
        <v>297.85966026684002</v>
      </c>
      <c r="J165">
        <v>297.71260423374298</v>
      </c>
      <c r="K165">
        <v>298.39583593306401</v>
      </c>
      <c r="L165">
        <v>296.337986799747</v>
      </c>
      <c r="M165">
        <v>302.275142045454</v>
      </c>
      <c r="N165">
        <v>0.54500000000000004</v>
      </c>
      <c r="O165">
        <v>26618.9597512041</v>
      </c>
      <c r="Q165">
        <v>299.14999999999998</v>
      </c>
      <c r="R165">
        <f t="shared" si="13"/>
        <v>26</v>
      </c>
      <c r="S165">
        <f t="shared" si="14"/>
        <v>25.102459153721043</v>
      </c>
      <c r="T165">
        <f t="shared" si="15"/>
        <v>24.709660266840046</v>
      </c>
      <c r="U165">
        <f t="shared" si="16"/>
        <v>24.562604233743002</v>
      </c>
      <c r="V165">
        <f t="shared" si="17"/>
        <v>25.245835933064029</v>
      </c>
      <c r="W165">
        <f t="shared" si="18"/>
        <v>23.187986799747023</v>
      </c>
      <c r="Y165">
        <v>40.75</v>
      </c>
    </row>
    <row r="166" spans="1:25" x14ac:dyDescent="0.25">
      <c r="A166">
        <v>0</v>
      </c>
      <c r="B166">
        <v>0.109089600406396</v>
      </c>
      <c r="C166">
        <v>0.107878646580573</v>
      </c>
      <c r="D166">
        <v>0.11124491455214899</v>
      </c>
      <c r="E166">
        <v>0.10092894192673101</v>
      </c>
      <c r="F166">
        <v>0.1</v>
      </c>
      <c r="G166">
        <v>4.4884509407929798</v>
      </c>
      <c r="H166">
        <v>298.23870866689703</v>
      </c>
      <c r="I166">
        <v>297.84811616707998</v>
      </c>
      <c r="J166">
        <v>297.71430601685501</v>
      </c>
      <c r="K166">
        <v>298.42625145419299</v>
      </c>
      <c r="L166">
        <v>296.34466719190101</v>
      </c>
      <c r="M166">
        <v>302.04999999999899</v>
      </c>
      <c r="N166">
        <v>0.55000000000000004</v>
      </c>
      <c r="O166">
        <v>26241.551423316399</v>
      </c>
      <c r="Q166">
        <v>299.14999999999998</v>
      </c>
      <c r="R166">
        <f t="shared" si="13"/>
        <v>26</v>
      </c>
      <c r="S166">
        <f t="shared" si="14"/>
        <v>25.088708666897048</v>
      </c>
      <c r="T166">
        <f t="shared" si="15"/>
        <v>24.698116167080002</v>
      </c>
      <c r="U166">
        <f t="shared" si="16"/>
        <v>24.564306016855028</v>
      </c>
      <c r="V166">
        <f t="shared" si="17"/>
        <v>25.276251454193016</v>
      </c>
      <c r="W166">
        <f t="shared" si="18"/>
        <v>23.194667191901033</v>
      </c>
      <c r="Y166">
        <v>41</v>
      </c>
    </row>
    <row r="167" spans="1:25" x14ac:dyDescent="0.25">
      <c r="A167">
        <v>0</v>
      </c>
      <c r="B167">
        <v>0.10905861733753</v>
      </c>
      <c r="C167">
        <v>0.107957502163437</v>
      </c>
      <c r="D167">
        <v>0.11131543135333399</v>
      </c>
      <c r="E167">
        <v>0.10500280717520601</v>
      </c>
      <c r="F167">
        <v>0.1</v>
      </c>
      <c r="G167">
        <v>4.5360677313403599</v>
      </c>
      <c r="H167">
        <v>298.180632762416</v>
      </c>
      <c r="I167">
        <v>297.792071488369</v>
      </c>
      <c r="J167">
        <v>297.67104773499301</v>
      </c>
      <c r="K167">
        <v>298.39571264162203</v>
      </c>
      <c r="L167">
        <v>296.29862360790599</v>
      </c>
      <c r="M167">
        <v>301.69829545454502</v>
      </c>
      <c r="N167">
        <v>0.56286057692307601</v>
      </c>
      <c r="O167">
        <v>26404.910718276002</v>
      </c>
      <c r="Q167">
        <v>299.14999999999998</v>
      </c>
      <c r="R167">
        <f t="shared" si="13"/>
        <v>26</v>
      </c>
      <c r="S167">
        <f t="shared" si="14"/>
        <v>25.030632762416019</v>
      </c>
      <c r="T167">
        <f t="shared" si="15"/>
        <v>24.642071488369027</v>
      </c>
      <c r="U167">
        <f t="shared" si="16"/>
        <v>24.521047734993033</v>
      </c>
      <c r="V167">
        <f t="shared" si="17"/>
        <v>25.245712641622049</v>
      </c>
      <c r="W167">
        <f t="shared" si="18"/>
        <v>23.148623607906018</v>
      </c>
      <c r="Y167">
        <v>41.25</v>
      </c>
    </row>
    <row r="168" spans="1:25" x14ac:dyDescent="0.25">
      <c r="A168">
        <v>0</v>
      </c>
      <c r="B168">
        <v>0.108839648587296</v>
      </c>
      <c r="C168">
        <v>0.107815337672058</v>
      </c>
      <c r="D168">
        <v>0.111178529466977</v>
      </c>
      <c r="E168">
        <v>0.10923250309549699</v>
      </c>
      <c r="F168">
        <v>0.1</v>
      </c>
      <c r="G168">
        <v>4.5354709571751304</v>
      </c>
      <c r="H168">
        <v>298.088065286107</v>
      </c>
      <c r="I168">
        <v>297.70270246665501</v>
      </c>
      <c r="J168">
        <v>297.594109099234</v>
      </c>
      <c r="K168">
        <v>298.32728645433002</v>
      </c>
      <c r="L168">
        <v>296.22521497091299</v>
      </c>
      <c r="M168">
        <v>301.23181818181803</v>
      </c>
      <c r="N168">
        <v>0.58596153846153798</v>
      </c>
      <c r="O168">
        <v>26218.018999518299</v>
      </c>
      <c r="Q168">
        <v>299.14999999999998</v>
      </c>
      <c r="R168">
        <f t="shared" si="13"/>
        <v>26</v>
      </c>
      <c r="S168">
        <f t="shared" si="14"/>
        <v>24.938065286107019</v>
      </c>
      <c r="T168">
        <f t="shared" si="15"/>
        <v>24.552702466655035</v>
      </c>
      <c r="U168">
        <f t="shared" si="16"/>
        <v>24.444109099234026</v>
      </c>
      <c r="V168">
        <f t="shared" si="17"/>
        <v>25.177286454330044</v>
      </c>
      <c r="W168">
        <f t="shared" si="18"/>
        <v>23.075214970913009</v>
      </c>
      <c r="Y168">
        <v>41.5</v>
      </c>
    </row>
    <row r="169" spans="1:25" x14ac:dyDescent="0.25">
      <c r="A169">
        <v>0</v>
      </c>
      <c r="B169">
        <v>0.108425833247859</v>
      </c>
      <c r="C169">
        <v>0.107675082702823</v>
      </c>
      <c r="D169">
        <v>0.111053137554561</v>
      </c>
      <c r="E169">
        <v>0.111387284642894</v>
      </c>
      <c r="F169">
        <v>0.1</v>
      </c>
      <c r="G169">
        <v>4.5451960416077597</v>
      </c>
      <c r="H169">
        <v>297.99456914846002</v>
      </c>
      <c r="I169">
        <v>297.61221899769203</v>
      </c>
      <c r="J169">
        <v>297.51848609506698</v>
      </c>
      <c r="K169">
        <v>298.25225313536799</v>
      </c>
      <c r="L169">
        <v>296.15070530378</v>
      </c>
      <c r="M169">
        <v>300.74943181818099</v>
      </c>
      <c r="N169">
        <v>0.61108173076923</v>
      </c>
      <c r="O169">
        <v>26146.877934694101</v>
      </c>
      <c r="Q169">
        <v>299.14999999999998</v>
      </c>
      <c r="R169">
        <f t="shared" si="13"/>
        <v>26</v>
      </c>
      <c r="S169">
        <f t="shared" si="14"/>
        <v>24.844569148460039</v>
      </c>
      <c r="T169">
        <f t="shared" si="15"/>
        <v>24.462218997692048</v>
      </c>
      <c r="U169">
        <f t="shared" si="16"/>
        <v>24.368486095066999</v>
      </c>
      <c r="V169">
        <f t="shared" si="17"/>
        <v>25.102253135368017</v>
      </c>
      <c r="W169">
        <f t="shared" si="18"/>
        <v>23.000705303780023</v>
      </c>
      <c r="Y169">
        <v>41.75</v>
      </c>
    </row>
    <row r="170" spans="1:25" x14ac:dyDescent="0.25">
      <c r="A170">
        <v>0</v>
      </c>
      <c r="B170">
        <v>0.113942252287213</v>
      </c>
      <c r="C170">
        <v>0.112879845596459</v>
      </c>
      <c r="D170">
        <v>0.116863663527904</v>
      </c>
      <c r="E170">
        <v>0.11263163066535101</v>
      </c>
      <c r="F170">
        <v>0.1</v>
      </c>
      <c r="G170">
        <v>4.5460014781574998</v>
      </c>
      <c r="H170">
        <v>297.88345867102697</v>
      </c>
      <c r="I170">
        <v>297.50406411551802</v>
      </c>
      <c r="J170">
        <v>297.422397876883</v>
      </c>
      <c r="K170">
        <v>298.148109841174</v>
      </c>
      <c r="L170">
        <v>296.06852823935299</v>
      </c>
      <c r="M170">
        <v>300.349999999999</v>
      </c>
      <c r="N170">
        <v>0.63</v>
      </c>
      <c r="O170">
        <v>25993.104044743599</v>
      </c>
      <c r="Q170">
        <v>299.14999999999998</v>
      </c>
      <c r="R170">
        <f t="shared" si="13"/>
        <v>26</v>
      </c>
      <c r="S170">
        <f t="shared" si="14"/>
        <v>24.733458671026995</v>
      </c>
      <c r="T170">
        <f t="shared" si="15"/>
        <v>24.354064115518042</v>
      </c>
      <c r="U170">
        <f t="shared" si="16"/>
        <v>24.272397876883019</v>
      </c>
      <c r="V170">
        <f t="shared" si="17"/>
        <v>24.998109841174028</v>
      </c>
      <c r="W170">
        <f t="shared" si="18"/>
        <v>22.918528239353009</v>
      </c>
      <c r="Y170">
        <v>42</v>
      </c>
    </row>
    <row r="171" spans="1:25" x14ac:dyDescent="0.25">
      <c r="A171">
        <v>0</v>
      </c>
      <c r="B171">
        <v>0.11113752381823901</v>
      </c>
      <c r="C171">
        <v>0.110318646558969</v>
      </c>
      <c r="D171">
        <v>0.11412294409080399</v>
      </c>
      <c r="E171">
        <v>0.10544812311499099</v>
      </c>
      <c r="F171">
        <v>0.1</v>
      </c>
      <c r="G171">
        <v>4.5469253282685402</v>
      </c>
      <c r="H171">
        <v>297.77817638005303</v>
      </c>
      <c r="I171">
        <v>297.40244771794499</v>
      </c>
      <c r="J171">
        <v>297.33217890455398</v>
      </c>
      <c r="K171">
        <v>298.040968637123</v>
      </c>
      <c r="L171">
        <v>295.979820339208</v>
      </c>
      <c r="M171">
        <v>300.060937499999</v>
      </c>
      <c r="N171">
        <v>0.63757451923076902</v>
      </c>
      <c r="O171">
        <v>25766.303055710301</v>
      </c>
      <c r="Q171">
        <v>299.14999999999998</v>
      </c>
      <c r="R171">
        <f t="shared" si="13"/>
        <v>26</v>
      </c>
      <c r="S171">
        <f t="shared" si="14"/>
        <v>24.628176380053048</v>
      </c>
      <c r="T171">
        <f t="shared" si="15"/>
        <v>24.252447717945017</v>
      </c>
      <c r="U171">
        <f t="shared" si="16"/>
        <v>24.182178904554007</v>
      </c>
      <c r="V171">
        <f t="shared" si="17"/>
        <v>24.890968637123024</v>
      </c>
      <c r="W171">
        <f t="shared" si="18"/>
        <v>22.829820339208027</v>
      </c>
      <c r="Y171">
        <v>42.25</v>
      </c>
    </row>
    <row r="172" spans="1:25" x14ac:dyDescent="0.25">
      <c r="A172">
        <v>0</v>
      </c>
      <c r="B172">
        <v>0.11108725233067</v>
      </c>
      <c r="C172">
        <v>0.11005702860847801</v>
      </c>
      <c r="D172">
        <v>0.11373437822827601</v>
      </c>
      <c r="E172">
        <v>9.8382270710475603E-2</v>
      </c>
      <c r="F172">
        <v>0.1</v>
      </c>
      <c r="G172">
        <v>4.5107030404510198</v>
      </c>
      <c r="H172">
        <v>297.67114314001299</v>
      </c>
      <c r="I172">
        <v>297.30030113937102</v>
      </c>
      <c r="J172">
        <v>297.23668593485303</v>
      </c>
      <c r="K172">
        <v>297.92480323702699</v>
      </c>
      <c r="L172">
        <v>295.90023344836999</v>
      </c>
      <c r="M172">
        <v>299.8125</v>
      </c>
      <c r="N172">
        <v>0.63878846153846103</v>
      </c>
      <c r="O172">
        <v>25031.880596617098</v>
      </c>
      <c r="Q172">
        <v>299.14999999999998</v>
      </c>
      <c r="R172">
        <f t="shared" si="13"/>
        <v>26</v>
      </c>
      <c r="S172">
        <f t="shared" si="14"/>
        <v>24.52114314001301</v>
      </c>
      <c r="T172">
        <f t="shared" si="15"/>
        <v>24.150301139371038</v>
      </c>
      <c r="U172">
        <f t="shared" si="16"/>
        <v>24.086685934853051</v>
      </c>
      <c r="V172">
        <f t="shared" si="17"/>
        <v>24.774803237027015</v>
      </c>
      <c r="W172">
        <f t="shared" si="18"/>
        <v>22.750233448370011</v>
      </c>
      <c r="Y172">
        <v>42.5</v>
      </c>
    </row>
    <row r="173" spans="1:25" x14ac:dyDescent="0.25">
      <c r="A173">
        <v>0</v>
      </c>
      <c r="B173">
        <v>0.11598205164966501</v>
      </c>
      <c r="C173">
        <v>0.114259150956127</v>
      </c>
      <c r="D173">
        <v>0.117933038515041</v>
      </c>
      <c r="E173">
        <v>9.80165175030316E-2</v>
      </c>
      <c r="F173">
        <v>0.1</v>
      </c>
      <c r="G173">
        <v>4.5059810153353803</v>
      </c>
      <c r="H173">
        <v>297.54153933414398</v>
      </c>
      <c r="I173">
        <v>297.17425781830002</v>
      </c>
      <c r="J173">
        <v>297.11783300093703</v>
      </c>
      <c r="K173">
        <v>297.78149336305898</v>
      </c>
      <c r="L173">
        <v>295.798414646933</v>
      </c>
      <c r="M173">
        <v>299.55781249999899</v>
      </c>
      <c r="N173">
        <v>0.64060817307692297</v>
      </c>
      <c r="O173">
        <v>24523.0979801906</v>
      </c>
      <c r="Q173">
        <v>299.14999999999998</v>
      </c>
      <c r="R173">
        <f t="shared" si="13"/>
        <v>26</v>
      </c>
      <c r="S173">
        <f t="shared" si="14"/>
        <v>24.391539334143999</v>
      </c>
      <c r="T173">
        <f t="shared" si="15"/>
        <v>24.024257818300043</v>
      </c>
      <c r="U173">
        <f t="shared" si="16"/>
        <v>23.967833000937048</v>
      </c>
      <c r="V173">
        <f t="shared" si="17"/>
        <v>24.631493363059008</v>
      </c>
      <c r="W173">
        <f t="shared" si="18"/>
        <v>22.64841464693302</v>
      </c>
      <c r="Y173">
        <v>42.75</v>
      </c>
    </row>
    <row r="174" spans="1:25" x14ac:dyDescent="0.25">
      <c r="A174">
        <v>0</v>
      </c>
      <c r="B174">
        <v>0.114618372481437</v>
      </c>
      <c r="C174">
        <v>0.112758476494929</v>
      </c>
      <c r="D174">
        <v>0.115744144042336</v>
      </c>
      <c r="E174">
        <v>9.6107406159607903E-2</v>
      </c>
      <c r="F174">
        <v>0.1</v>
      </c>
      <c r="G174">
        <v>4.5337948394520797</v>
      </c>
      <c r="H174">
        <v>297.41765463985701</v>
      </c>
      <c r="I174">
        <v>297.05379599311999</v>
      </c>
      <c r="J174">
        <v>297.00246231465599</v>
      </c>
      <c r="K174">
        <v>297.63405309789903</v>
      </c>
      <c r="L174">
        <v>295.690717445639</v>
      </c>
      <c r="M174">
        <v>299.25</v>
      </c>
      <c r="N174">
        <v>0.65</v>
      </c>
      <c r="O174">
        <v>24295.994178192399</v>
      </c>
      <c r="Q174">
        <v>299.14999999999998</v>
      </c>
      <c r="R174">
        <f t="shared" si="13"/>
        <v>26</v>
      </c>
      <c r="S174">
        <f t="shared" si="14"/>
        <v>24.267654639857028</v>
      </c>
      <c r="T174">
        <f t="shared" si="15"/>
        <v>23.903795993120013</v>
      </c>
      <c r="U174">
        <f t="shared" si="16"/>
        <v>23.852462314656009</v>
      </c>
      <c r="V174">
        <f t="shared" si="17"/>
        <v>24.48405309789905</v>
      </c>
      <c r="W174">
        <f t="shared" si="18"/>
        <v>22.540717445639018</v>
      </c>
      <c r="Y174">
        <v>43</v>
      </c>
    </row>
    <row r="175" spans="1:25" x14ac:dyDescent="0.25">
      <c r="A175">
        <v>0</v>
      </c>
      <c r="B175">
        <v>1.6517005987028301E-2</v>
      </c>
      <c r="C175">
        <v>1.5684948415793799E-2</v>
      </c>
      <c r="D175">
        <v>1.65170059870287E-2</v>
      </c>
      <c r="E175">
        <v>1.21994043233978E-2</v>
      </c>
      <c r="F175">
        <v>0.1</v>
      </c>
      <c r="G175">
        <v>0.139270749307813</v>
      </c>
      <c r="H175">
        <v>298.58394596611703</v>
      </c>
      <c r="I175">
        <v>298.40278873205898</v>
      </c>
      <c r="J175">
        <v>298.11997251042101</v>
      </c>
      <c r="K175">
        <v>298.98206905375901</v>
      </c>
      <c r="L175">
        <v>297.75166956722899</v>
      </c>
      <c r="M175">
        <v>298.85726102941101</v>
      </c>
      <c r="N175">
        <v>0.66965624999999995</v>
      </c>
      <c r="O175">
        <v>4546.3712174961202</v>
      </c>
      <c r="Q175">
        <v>299.14999999999998</v>
      </c>
      <c r="R175">
        <f t="shared" si="13"/>
        <v>26</v>
      </c>
      <c r="S175">
        <f t="shared" si="14"/>
        <v>25.433945966117051</v>
      </c>
      <c r="T175">
        <f t="shared" si="15"/>
        <v>25.252788732059003</v>
      </c>
      <c r="U175">
        <f t="shared" si="16"/>
        <v>24.96997251042103</v>
      </c>
      <c r="V175">
        <f t="shared" si="17"/>
        <v>25.832069053759028</v>
      </c>
      <c r="W175">
        <f t="shared" si="18"/>
        <v>24.60166956722901</v>
      </c>
      <c r="Y175">
        <v>43.25</v>
      </c>
    </row>
    <row r="176" spans="1:25" x14ac:dyDescent="0.25">
      <c r="A176">
        <v>0</v>
      </c>
      <c r="B176">
        <v>1.6259056414008301E-2</v>
      </c>
      <c r="C176">
        <v>1.5439993261700201E-2</v>
      </c>
      <c r="D176">
        <v>1.6259056414008301E-2</v>
      </c>
      <c r="E176">
        <v>1.2008883647989001E-2</v>
      </c>
      <c r="F176">
        <v>0.1</v>
      </c>
      <c r="G176">
        <v>0.137095623884013</v>
      </c>
      <c r="H176">
        <v>298.73947628402198</v>
      </c>
      <c r="I176">
        <v>298.56767499749202</v>
      </c>
      <c r="J176">
        <v>298.29302169393799</v>
      </c>
      <c r="K176">
        <v>299.11788076127402</v>
      </c>
      <c r="L176">
        <v>297.941367820072</v>
      </c>
      <c r="M176">
        <v>298.41102941176399</v>
      </c>
      <c r="N176">
        <v>0.69441666666666602</v>
      </c>
      <c r="O176">
        <v>1539.3516149224399</v>
      </c>
      <c r="Q176">
        <v>299.14999999999998</v>
      </c>
      <c r="R176">
        <f t="shared" si="13"/>
        <v>26</v>
      </c>
      <c r="S176">
        <f t="shared" si="14"/>
        <v>25.589476284021998</v>
      </c>
      <c r="T176">
        <f t="shared" si="15"/>
        <v>25.417674997492043</v>
      </c>
      <c r="U176">
        <f t="shared" si="16"/>
        <v>25.14302169393801</v>
      </c>
      <c r="V176">
        <f t="shared" si="17"/>
        <v>25.967880761274046</v>
      </c>
      <c r="W176">
        <f t="shared" si="18"/>
        <v>24.791367820072026</v>
      </c>
      <c r="Y176">
        <v>43.5</v>
      </c>
    </row>
    <row r="177" spans="1:25" x14ac:dyDescent="0.25">
      <c r="A177">
        <v>0</v>
      </c>
      <c r="B177">
        <v>1.62569826761075E-2</v>
      </c>
      <c r="C177">
        <v>1.54380239900279E-2</v>
      </c>
      <c r="D177">
        <v>1.62569826761075E-2</v>
      </c>
      <c r="E177">
        <v>1.2007351992243899E-2</v>
      </c>
      <c r="F177">
        <v>0.1</v>
      </c>
      <c r="G177">
        <v>0.13707808888707301</v>
      </c>
      <c r="H177">
        <v>298.75109942242898</v>
      </c>
      <c r="I177">
        <v>298.58314716430601</v>
      </c>
      <c r="J177">
        <v>298.31211180845497</v>
      </c>
      <c r="K177">
        <v>299.11802573191</v>
      </c>
      <c r="L177">
        <v>297.97085221007899</v>
      </c>
      <c r="M177">
        <v>297.959283088235</v>
      </c>
      <c r="N177">
        <v>0.71946874999999999</v>
      </c>
      <c r="O177">
        <v>1539.3229899760199</v>
      </c>
      <c r="Q177">
        <v>299.14999999999998</v>
      </c>
      <c r="R177">
        <f t="shared" si="13"/>
        <v>26</v>
      </c>
      <c r="S177">
        <f t="shared" si="14"/>
        <v>25.601099422429002</v>
      </c>
      <c r="T177">
        <f t="shared" si="15"/>
        <v>25.433147164306035</v>
      </c>
      <c r="U177">
        <f t="shared" si="16"/>
        <v>25.162111808454995</v>
      </c>
      <c r="V177">
        <f t="shared" si="17"/>
        <v>25.968025731910018</v>
      </c>
      <c r="W177">
        <f t="shared" si="18"/>
        <v>24.820852210079011</v>
      </c>
      <c r="Y177">
        <v>43.75</v>
      </c>
    </row>
    <row r="178" spans="1:25" x14ac:dyDescent="0.25">
      <c r="A178">
        <v>0</v>
      </c>
      <c r="B178">
        <v>1.6256175267124601E-2</v>
      </c>
      <c r="C178">
        <v>1.54372572549272E-2</v>
      </c>
      <c r="D178">
        <v>1.6256175267124501E-2</v>
      </c>
      <c r="E178">
        <v>1.20067556427212E-2</v>
      </c>
      <c r="F178">
        <v>0.1</v>
      </c>
      <c r="G178">
        <v>0.13707130866192399</v>
      </c>
      <c r="H178">
        <v>298.77035560962503</v>
      </c>
      <c r="I178">
        <v>298.61127525794399</v>
      </c>
      <c r="J178">
        <v>298.33961376605498</v>
      </c>
      <c r="K178">
        <v>299.12702509268001</v>
      </c>
      <c r="L178">
        <v>298.00839624834498</v>
      </c>
      <c r="M178">
        <v>297.54999999999899</v>
      </c>
      <c r="N178">
        <v>0.74</v>
      </c>
      <c r="O178">
        <v>1539.4553795173399</v>
      </c>
      <c r="Q178">
        <v>299.14999999999998</v>
      </c>
      <c r="R178">
        <f t="shared" si="13"/>
        <v>30</v>
      </c>
      <c r="S178">
        <f t="shared" si="14"/>
        <v>25.620355609625051</v>
      </c>
      <c r="T178">
        <f t="shared" si="15"/>
        <v>25.46127525794401</v>
      </c>
      <c r="U178">
        <f t="shared" si="16"/>
        <v>25.189613766055004</v>
      </c>
      <c r="V178">
        <f t="shared" si="17"/>
        <v>25.977025092680037</v>
      </c>
      <c r="W178">
        <f t="shared" si="18"/>
        <v>24.858396248345002</v>
      </c>
      <c r="Y178">
        <v>44</v>
      </c>
    </row>
    <row r="179" spans="1:25" x14ac:dyDescent="0.25">
      <c r="A179">
        <v>0</v>
      </c>
      <c r="B179">
        <v>1.0149911560573799E-4</v>
      </c>
      <c r="C179" s="1">
        <v>9.6386015345326702E-5</v>
      </c>
      <c r="D179">
        <v>1.0149911560573799E-4</v>
      </c>
      <c r="E179" s="1">
        <v>7.49669008241429E-5</v>
      </c>
      <c r="F179">
        <v>0.1</v>
      </c>
      <c r="G179">
        <v>8.5582541545496497E-4</v>
      </c>
      <c r="H179">
        <v>298.82754462348902</v>
      </c>
      <c r="I179">
        <v>298.69397511641398</v>
      </c>
      <c r="J179">
        <v>298.41457128992198</v>
      </c>
      <c r="K179">
        <v>299.18237548330097</v>
      </c>
      <c r="L179">
        <v>298.08985630259701</v>
      </c>
      <c r="M179">
        <v>297.19227941176399</v>
      </c>
      <c r="N179">
        <v>0.75618303571428502</v>
      </c>
      <c r="O179" s="1">
        <v>-5.03373479427801E-8</v>
      </c>
      <c r="Q179">
        <v>299.14999999999998</v>
      </c>
      <c r="R179">
        <f t="shared" si="13"/>
        <v>30</v>
      </c>
      <c r="S179">
        <f t="shared" si="14"/>
        <v>25.677544623489041</v>
      </c>
      <c r="T179">
        <f t="shared" si="15"/>
        <v>25.543975116414003</v>
      </c>
      <c r="U179">
        <f t="shared" si="16"/>
        <v>25.264571289922003</v>
      </c>
      <c r="V179">
        <f t="shared" si="17"/>
        <v>26.032375483300996</v>
      </c>
      <c r="W179">
        <f t="shared" si="18"/>
        <v>24.939856302597036</v>
      </c>
      <c r="Y179">
        <v>44.25</v>
      </c>
    </row>
    <row r="180" spans="1:25" x14ac:dyDescent="0.25">
      <c r="A180">
        <v>0</v>
      </c>
      <c r="B180">
        <v>1.0273318204494199E-4</v>
      </c>
      <c r="C180" s="1">
        <v>9.7557914686876698E-5</v>
      </c>
      <c r="D180">
        <v>1.0273318204494199E-4</v>
      </c>
      <c r="E180" s="1">
        <v>7.5878378089792894E-5</v>
      </c>
      <c r="F180">
        <v>0.1</v>
      </c>
      <c r="G180">
        <v>8.66230161213848E-4</v>
      </c>
      <c r="H180">
        <v>298.82706591178498</v>
      </c>
      <c r="I180">
        <v>298.70140258110303</v>
      </c>
      <c r="J180">
        <v>298.42511039040897</v>
      </c>
      <c r="K180">
        <v>299.17573250271403</v>
      </c>
      <c r="L180">
        <v>298.10749100058302</v>
      </c>
      <c r="M180">
        <v>296.87647058823501</v>
      </c>
      <c r="N180">
        <v>0.77065476190476101</v>
      </c>
      <c r="O180" s="1">
        <v>-5.1568746407283003E-8</v>
      </c>
      <c r="Q180">
        <v>299.14999999999998</v>
      </c>
      <c r="R180">
        <f t="shared" si="13"/>
        <v>30</v>
      </c>
      <c r="S180">
        <f t="shared" si="14"/>
        <v>25.677065911785007</v>
      </c>
      <c r="T180">
        <f t="shared" si="15"/>
        <v>25.551402581103048</v>
      </c>
      <c r="U180">
        <f t="shared" si="16"/>
        <v>25.275110390408997</v>
      </c>
      <c r="V180">
        <f t="shared" si="17"/>
        <v>26.02573250271405</v>
      </c>
      <c r="W180">
        <f t="shared" si="18"/>
        <v>24.957491000583047</v>
      </c>
      <c r="Y180">
        <v>44.5</v>
      </c>
    </row>
    <row r="181" spans="1:25" x14ac:dyDescent="0.25">
      <c r="A181">
        <v>0</v>
      </c>
      <c r="B181">
        <v>1.04336755056021E-4</v>
      </c>
      <c r="C181" s="1">
        <v>9.9080706407088295E-5</v>
      </c>
      <c r="D181">
        <v>1.04336755056021E-4</v>
      </c>
      <c r="E181" s="1">
        <v>7.7062771649957502E-5</v>
      </c>
      <c r="F181">
        <v>0.1</v>
      </c>
      <c r="G181">
        <v>8.79750538898027E-4</v>
      </c>
      <c r="H181">
        <v>298.81600286934798</v>
      </c>
      <c r="I181">
        <v>298.69740084843301</v>
      </c>
      <c r="J181">
        <v>298.42238476849298</v>
      </c>
      <c r="K181">
        <v>299.15921536089098</v>
      </c>
      <c r="L181">
        <v>298.113269571486</v>
      </c>
      <c r="M181">
        <v>296.62242647058798</v>
      </c>
      <c r="N181">
        <v>0.782299107142857</v>
      </c>
      <c r="O181" s="1">
        <v>-5.3191110157024098E-8</v>
      </c>
      <c r="Q181">
        <v>299.14999999999998</v>
      </c>
      <c r="R181">
        <f t="shared" si="13"/>
        <v>30</v>
      </c>
      <c r="S181">
        <f t="shared" si="14"/>
        <v>25.666002869348006</v>
      </c>
      <c r="T181">
        <f t="shared" si="15"/>
        <v>25.547400848433028</v>
      </c>
      <c r="U181">
        <f t="shared" si="16"/>
        <v>25.272384768492998</v>
      </c>
      <c r="V181">
        <f t="shared" si="17"/>
        <v>26.009215360891005</v>
      </c>
      <c r="W181">
        <f t="shared" si="18"/>
        <v>24.963269571486023</v>
      </c>
      <c r="Y181">
        <v>44.75</v>
      </c>
    </row>
    <row r="182" spans="1:25" x14ac:dyDescent="0.25">
      <c r="A182">
        <v>0</v>
      </c>
      <c r="B182">
        <v>1.0533441740909101E-4</v>
      </c>
      <c r="C182">
        <v>1.0002811071005701E-4</v>
      </c>
      <c r="D182">
        <v>1.05334417409092E-4</v>
      </c>
      <c r="E182" s="1">
        <v>7.77996416633779E-5</v>
      </c>
      <c r="F182">
        <v>0.1</v>
      </c>
      <c r="G182">
        <v>8.88161986665563E-4</v>
      </c>
      <c r="H182">
        <v>298.80297404407298</v>
      </c>
      <c r="I182">
        <v>298.69029445870501</v>
      </c>
      <c r="J182">
        <v>298.41672307447499</v>
      </c>
      <c r="K182">
        <v>299.14039858212101</v>
      </c>
      <c r="L182">
        <v>298.11582393994098</v>
      </c>
      <c r="M182">
        <v>296.45</v>
      </c>
      <c r="N182">
        <v>0.79</v>
      </c>
      <c r="O182" s="1">
        <v>-5.4213111571231101E-8</v>
      </c>
      <c r="Q182">
        <v>299.14999999999998</v>
      </c>
      <c r="R182">
        <f t="shared" si="13"/>
        <v>30</v>
      </c>
      <c r="S182">
        <f t="shared" si="14"/>
        <v>25.652974044073005</v>
      </c>
      <c r="T182">
        <f t="shared" si="15"/>
        <v>25.540294458705034</v>
      </c>
      <c r="U182">
        <f t="shared" si="16"/>
        <v>25.26672307447501</v>
      </c>
      <c r="V182">
        <f t="shared" si="17"/>
        <v>25.990398582121031</v>
      </c>
      <c r="W182">
        <f t="shared" si="18"/>
        <v>24.965823939941004</v>
      </c>
      <c r="Y182">
        <v>45</v>
      </c>
    </row>
    <row r="183" spans="1:25" x14ac:dyDescent="0.25">
      <c r="A183">
        <v>0</v>
      </c>
      <c r="B183">
        <v>1.06223797263978E-4</v>
      </c>
      <c r="C183">
        <v>1.00872687333502E-4</v>
      </c>
      <c r="D183">
        <v>1.06223797263978E-4</v>
      </c>
      <c r="E183" s="1">
        <v>7.8456534592724102E-5</v>
      </c>
      <c r="F183">
        <v>0.1</v>
      </c>
      <c r="G183">
        <v>8.9566044272011204E-4</v>
      </c>
      <c r="H183">
        <v>298.79048752229897</v>
      </c>
      <c r="I183">
        <v>298.68226591577297</v>
      </c>
      <c r="J183">
        <v>298.41057860401202</v>
      </c>
      <c r="K183">
        <v>299.12122704193303</v>
      </c>
      <c r="L183">
        <v>298.11705035508999</v>
      </c>
      <c r="M183">
        <v>296.40117187499999</v>
      </c>
      <c r="N183">
        <v>0.79184151785714296</v>
      </c>
      <c r="O183" s="1">
        <v>-5.5132382322981997E-8</v>
      </c>
      <c r="Q183">
        <v>299.14999999999998</v>
      </c>
      <c r="R183">
        <f t="shared" si="13"/>
        <v>30</v>
      </c>
      <c r="S183">
        <f t="shared" si="14"/>
        <v>25.640487522298997</v>
      </c>
      <c r="T183">
        <f t="shared" si="15"/>
        <v>25.532265915772996</v>
      </c>
      <c r="U183">
        <f t="shared" si="16"/>
        <v>25.260578604012039</v>
      </c>
      <c r="V183">
        <f t="shared" si="17"/>
        <v>25.971227041933048</v>
      </c>
      <c r="W183">
        <f t="shared" si="18"/>
        <v>24.967050355090009</v>
      </c>
      <c r="Y183">
        <v>45.25</v>
      </c>
    </row>
    <row r="184" spans="1:25" x14ac:dyDescent="0.25">
      <c r="A184">
        <v>0</v>
      </c>
      <c r="B184">
        <v>1.07108596685146E-4</v>
      </c>
      <c r="C184">
        <v>1.01712914266291E-4</v>
      </c>
      <c r="D184">
        <v>1.07108596685146E-4</v>
      </c>
      <c r="E184" s="1">
        <v>7.9110044429337996E-5</v>
      </c>
      <c r="F184">
        <v>0.1</v>
      </c>
      <c r="G184">
        <v>9.0312030499572202E-4</v>
      </c>
      <c r="H184">
        <v>298.77961258506502</v>
      </c>
      <c r="I184">
        <v>298.67437460658402</v>
      </c>
      <c r="J184">
        <v>298.40514515686101</v>
      </c>
      <c r="K184">
        <v>299.102677508439</v>
      </c>
      <c r="L184">
        <v>298.117922359695</v>
      </c>
      <c r="M184">
        <v>296.44479166666599</v>
      </c>
      <c r="N184">
        <v>0.78955357142857097</v>
      </c>
      <c r="O184" s="1">
        <v>-5.6054590591542197E-8</v>
      </c>
      <c r="Q184">
        <v>299.14999999999998</v>
      </c>
      <c r="R184">
        <f t="shared" si="13"/>
        <v>30</v>
      </c>
      <c r="S184">
        <f t="shared" si="14"/>
        <v>25.629612585065047</v>
      </c>
      <c r="T184">
        <f t="shared" si="15"/>
        <v>25.524374606584047</v>
      </c>
      <c r="U184">
        <f t="shared" si="16"/>
        <v>25.255145156861033</v>
      </c>
      <c r="V184">
        <f t="shared" si="17"/>
        <v>25.952677508439024</v>
      </c>
      <c r="W184">
        <f t="shared" si="18"/>
        <v>24.967922359695024</v>
      </c>
      <c r="Y184">
        <v>45.5</v>
      </c>
    </row>
    <row r="185" spans="1:25" x14ac:dyDescent="0.25">
      <c r="A185">
        <v>0</v>
      </c>
      <c r="B185">
        <v>1.07966644794121E-4</v>
      </c>
      <c r="C185">
        <v>1.02527737505934E-4</v>
      </c>
      <c r="D185">
        <v>1.07966644794121E-4</v>
      </c>
      <c r="E185" s="1">
        <v>7.9743795837948993E-5</v>
      </c>
      <c r="F185">
        <v>0.1</v>
      </c>
      <c r="G185">
        <v>9.1035463075198704E-4</v>
      </c>
      <c r="H185">
        <v>298.76925130531498</v>
      </c>
      <c r="I185">
        <v>298.66650842620101</v>
      </c>
      <c r="J185">
        <v>298.40017041424801</v>
      </c>
      <c r="K185">
        <v>299.084644255836</v>
      </c>
      <c r="L185">
        <v>298.11845059300401</v>
      </c>
      <c r="M185">
        <v>296.49101562499999</v>
      </c>
      <c r="N185">
        <v>0.787488839285714</v>
      </c>
      <c r="O185" s="1">
        <v>-5.6956223158196398E-8</v>
      </c>
      <c r="Q185">
        <v>299.14999999999998</v>
      </c>
      <c r="R185">
        <f t="shared" si="13"/>
        <v>30</v>
      </c>
      <c r="S185">
        <f t="shared" si="14"/>
        <v>25.619251305315004</v>
      </c>
      <c r="T185">
        <f t="shared" si="15"/>
        <v>25.516508426201028</v>
      </c>
      <c r="U185">
        <f t="shared" si="16"/>
        <v>25.250170414248032</v>
      </c>
      <c r="V185">
        <f t="shared" si="17"/>
        <v>25.93464425583602</v>
      </c>
      <c r="W185">
        <f t="shared" si="18"/>
        <v>24.968450593004036</v>
      </c>
      <c r="Y185">
        <v>45.75</v>
      </c>
    </row>
    <row r="186" spans="1:25" x14ac:dyDescent="0.25">
      <c r="A186">
        <v>0</v>
      </c>
      <c r="B186">
        <v>1.08799484725679E-4</v>
      </c>
      <c r="C186">
        <v>1.03318622450539E-4</v>
      </c>
      <c r="D186">
        <v>1.0879948472568E-4</v>
      </c>
      <c r="E186" s="1">
        <v>8.0358928572641798E-5</v>
      </c>
      <c r="F186">
        <v>0.1</v>
      </c>
      <c r="G186">
        <v>9.1737643010624502E-4</v>
      </c>
      <c r="H186">
        <v>298.757480762142</v>
      </c>
      <c r="I186">
        <v>298.65795872039399</v>
      </c>
      <c r="J186">
        <v>298.39469361913098</v>
      </c>
      <c r="K186">
        <v>299.066455341954</v>
      </c>
      <c r="L186">
        <v>298.11809848474297</v>
      </c>
      <c r="M186">
        <v>296.45</v>
      </c>
      <c r="N186">
        <v>0.79</v>
      </c>
      <c r="O186" s="1">
        <v>-5.78382477205757E-8</v>
      </c>
      <c r="Q186">
        <v>299.14999999999998</v>
      </c>
      <c r="R186">
        <f t="shared" si="13"/>
        <v>30</v>
      </c>
      <c r="S186">
        <f t="shared" si="14"/>
        <v>25.607480762142018</v>
      </c>
      <c r="T186">
        <f t="shared" si="15"/>
        <v>25.507958720394015</v>
      </c>
      <c r="U186">
        <f t="shared" si="16"/>
        <v>25.244693619130999</v>
      </c>
      <c r="V186">
        <f t="shared" si="17"/>
        <v>25.91645534195402</v>
      </c>
      <c r="W186">
        <f t="shared" si="18"/>
        <v>24.968098484742995</v>
      </c>
      <c r="Y186">
        <v>46</v>
      </c>
    </row>
    <row r="187" spans="1:25" x14ac:dyDescent="0.25">
      <c r="A187">
        <v>0</v>
      </c>
      <c r="B187">
        <v>1.09170925264387E-4</v>
      </c>
      <c r="C187">
        <v>1.03671351370886E-4</v>
      </c>
      <c r="D187">
        <v>1.09170925264387E-4</v>
      </c>
      <c r="E187" s="1">
        <v>8.0633273288467294E-5</v>
      </c>
      <c r="F187">
        <v>0.1</v>
      </c>
      <c r="G187">
        <v>9.2050782474143095E-4</v>
      </c>
      <c r="H187">
        <v>298.74355182687498</v>
      </c>
      <c r="I187">
        <v>298.64814417642299</v>
      </c>
      <c r="J187">
        <v>298.38787695477799</v>
      </c>
      <c r="K187">
        <v>299.04756397962802</v>
      </c>
      <c r="L187">
        <v>298.11652516595302</v>
      </c>
      <c r="M187">
        <v>296.33476562499999</v>
      </c>
      <c r="N187">
        <v>0.79714843749999997</v>
      </c>
      <c r="O187" s="1">
        <v>-5.8233774535395601E-8</v>
      </c>
      <c r="Q187">
        <v>299.14999999999998</v>
      </c>
      <c r="R187">
        <f t="shared" si="13"/>
        <v>30</v>
      </c>
      <c r="S187">
        <f t="shared" si="14"/>
        <v>25.593551826875</v>
      </c>
      <c r="T187">
        <f t="shared" si="15"/>
        <v>25.498144176423011</v>
      </c>
      <c r="U187">
        <f t="shared" si="16"/>
        <v>25.237876954778017</v>
      </c>
      <c r="V187">
        <f t="shared" si="17"/>
        <v>25.897563979628046</v>
      </c>
      <c r="W187">
        <f t="shared" si="18"/>
        <v>24.966525165953044</v>
      </c>
      <c r="Y187">
        <v>46.25</v>
      </c>
    </row>
    <row r="188" spans="1:25" x14ac:dyDescent="0.25">
      <c r="A188">
        <v>0</v>
      </c>
      <c r="B188">
        <v>1.08237042076965E-4</v>
      </c>
      <c r="C188">
        <v>1.02784513306373E-4</v>
      </c>
      <c r="D188">
        <v>1.08237042076965E-4</v>
      </c>
      <c r="E188" s="1">
        <v>7.9943510349401496E-5</v>
      </c>
      <c r="F188">
        <v>0.1</v>
      </c>
      <c r="G188">
        <v>9.1263304104700102E-4</v>
      </c>
      <c r="H188">
        <v>298.72982225538499</v>
      </c>
      <c r="I188">
        <v>298.63791028011798</v>
      </c>
      <c r="J188">
        <v>298.380485141078</v>
      </c>
      <c r="K188">
        <v>299.02876921268398</v>
      </c>
      <c r="L188">
        <v>298.114851554501</v>
      </c>
      <c r="M188">
        <v>296.21562499999999</v>
      </c>
      <c r="N188">
        <v>0.80531249999999999</v>
      </c>
      <c r="O188" s="1">
        <v>-5.7241676832516602E-8</v>
      </c>
      <c r="Q188">
        <v>299.14999999999998</v>
      </c>
      <c r="R188">
        <f t="shared" si="13"/>
        <v>30</v>
      </c>
      <c r="S188">
        <f t="shared" si="14"/>
        <v>25.579822255385011</v>
      </c>
      <c r="T188">
        <f t="shared" si="15"/>
        <v>25.487910280118001</v>
      </c>
      <c r="U188">
        <f t="shared" si="16"/>
        <v>25.23048514107802</v>
      </c>
      <c r="V188">
        <f t="shared" si="17"/>
        <v>25.878769212684006</v>
      </c>
      <c r="W188">
        <f t="shared" si="18"/>
        <v>24.964851554501024</v>
      </c>
      <c r="Y188">
        <v>46.5</v>
      </c>
    </row>
    <row r="189" spans="1:25" x14ac:dyDescent="0.25">
      <c r="A189">
        <v>0</v>
      </c>
      <c r="B189">
        <v>1.07170490261982E-4</v>
      </c>
      <c r="C189">
        <v>1.0177168990400101E-4</v>
      </c>
      <c r="D189">
        <v>1.07170490261982E-4</v>
      </c>
      <c r="E189" s="1">
        <v>7.9155758814223096E-5</v>
      </c>
      <c r="F189">
        <v>0.1</v>
      </c>
      <c r="G189">
        <v>9.0363970192742398E-4</v>
      </c>
      <c r="H189">
        <v>298.71640785495998</v>
      </c>
      <c r="I189">
        <v>298.627492245734</v>
      </c>
      <c r="J189">
        <v>298.372941506622</v>
      </c>
      <c r="K189">
        <v>299.01022647691201</v>
      </c>
      <c r="L189">
        <v>298.11310767285499</v>
      </c>
      <c r="M189">
        <v>296.08867187499999</v>
      </c>
      <c r="N189">
        <v>0.81332031250000003</v>
      </c>
      <c r="O189" s="1">
        <v>-5.6119084666802602E-8</v>
      </c>
      <c r="Q189">
        <v>299.14999999999998</v>
      </c>
      <c r="R189">
        <f t="shared" si="13"/>
        <v>30</v>
      </c>
      <c r="S189">
        <f t="shared" si="14"/>
        <v>25.566407854960005</v>
      </c>
      <c r="T189">
        <f t="shared" si="15"/>
        <v>25.477492245734027</v>
      </c>
      <c r="U189">
        <f t="shared" si="16"/>
        <v>25.222941506622021</v>
      </c>
      <c r="V189">
        <f t="shared" si="17"/>
        <v>25.860226476912032</v>
      </c>
      <c r="W189">
        <f t="shared" si="18"/>
        <v>24.963107672855017</v>
      </c>
      <c r="Y189">
        <v>46.75</v>
      </c>
    </row>
    <row r="190" spans="1:25" x14ac:dyDescent="0.25">
      <c r="A190">
        <v>0</v>
      </c>
      <c r="B190">
        <v>1.06225876580088E-4</v>
      </c>
      <c r="C190">
        <v>1.0087466190237699E-4</v>
      </c>
      <c r="D190">
        <v>1.06225876580088E-4</v>
      </c>
      <c r="E190" s="1">
        <v>7.8458070368515593E-5</v>
      </c>
      <c r="F190">
        <v>0.1</v>
      </c>
      <c r="G190">
        <v>8.9567459158014604E-4</v>
      </c>
      <c r="H190">
        <v>298.70282638308402</v>
      </c>
      <c r="I190">
        <v>298.61673956305998</v>
      </c>
      <c r="J190">
        <v>298.364821816644</v>
      </c>
      <c r="K190">
        <v>298.99174329410198</v>
      </c>
      <c r="L190">
        <v>298.11100654871302</v>
      </c>
      <c r="M190">
        <v>295.95</v>
      </c>
      <c r="N190">
        <v>0.82</v>
      </c>
      <c r="O190" s="1">
        <v>-5.5134124203018203E-8</v>
      </c>
      <c r="Q190">
        <v>299.14999999999998</v>
      </c>
      <c r="R190">
        <f t="shared" si="13"/>
        <v>30</v>
      </c>
      <c r="S190">
        <f t="shared" si="14"/>
        <v>25.552826383084039</v>
      </c>
      <c r="T190">
        <f t="shared" si="15"/>
        <v>25.466739563060003</v>
      </c>
      <c r="U190">
        <f t="shared" si="16"/>
        <v>25.214821816644019</v>
      </c>
      <c r="V190">
        <f t="shared" si="17"/>
        <v>25.841743294102002</v>
      </c>
      <c r="W190">
        <f t="shared" si="18"/>
        <v>24.961006548713044</v>
      </c>
      <c r="Y190">
        <v>47</v>
      </c>
    </row>
    <row r="191" spans="1:25" x14ac:dyDescent="0.25">
      <c r="A191">
        <v>0</v>
      </c>
      <c r="B191">
        <v>1.05795378229675E-4</v>
      </c>
      <c r="C191">
        <v>1.00465850255483E-4</v>
      </c>
      <c r="D191">
        <v>1.05795378229675E-4</v>
      </c>
      <c r="E191" s="1">
        <v>7.8140105754264904E-5</v>
      </c>
      <c r="F191">
        <v>0.1</v>
      </c>
      <c r="G191">
        <v>8.9204444889806503E-4</v>
      </c>
      <c r="H191">
        <v>298.68881968436</v>
      </c>
      <c r="I191">
        <v>298.605397479739</v>
      </c>
      <c r="J191">
        <v>298.35584948029799</v>
      </c>
      <c r="K191">
        <v>298.97302662173098</v>
      </c>
      <c r="L191">
        <v>298.108134013903</v>
      </c>
      <c r="M191">
        <v>295.80156249999999</v>
      </c>
      <c r="N191">
        <v>0.82523437499999996</v>
      </c>
      <c r="O191" s="1">
        <v>-5.4688115911548297E-8</v>
      </c>
      <c r="Q191">
        <v>299.14999999999998</v>
      </c>
      <c r="R191">
        <f t="shared" si="13"/>
        <v>30</v>
      </c>
      <c r="S191">
        <f t="shared" si="14"/>
        <v>25.538819684360021</v>
      </c>
      <c r="T191">
        <f t="shared" si="15"/>
        <v>25.45539747973902</v>
      </c>
      <c r="U191">
        <f t="shared" si="16"/>
        <v>25.205849480298014</v>
      </c>
      <c r="V191">
        <f t="shared" si="17"/>
        <v>25.823026621731003</v>
      </c>
      <c r="W191">
        <f t="shared" si="18"/>
        <v>24.95813401390302</v>
      </c>
      <c r="Y191">
        <v>47.25</v>
      </c>
    </row>
    <row r="192" spans="1:25" x14ac:dyDescent="0.25">
      <c r="A192">
        <v>0</v>
      </c>
      <c r="B192">
        <v>1.05612063653909E-4</v>
      </c>
      <c r="C192">
        <v>1.00291770300132E-4</v>
      </c>
      <c r="D192">
        <v>1.05612063653909E-4</v>
      </c>
      <c r="E192" s="1">
        <v>7.8004710233436198E-5</v>
      </c>
      <c r="F192">
        <v>0.1</v>
      </c>
      <c r="G192">
        <v>8.9049854306467698E-4</v>
      </c>
      <c r="H192">
        <v>298.67478537711702</v>
      </c>
      <c r="I192">
        <v>298.593494473291</v>
      </c>
      <c r="J192">
        <v>298.34612523251502</v>
      </c>
      <c r="K192">
        <v>298.95409201243001</v>
      </c>
      <c r="L192">
        <v>298.10461098630998</v>
      </c>
      <c r="M192">
        <v>295.64999999999998</v>
      </c>
      <c r="N192">
        <v>0.83</v>
      </c>
      <c r="O192" s="1">
        <v>-5.4498732026877399E-8</v>
      </c>
      <c r="Q192">
        <v>299.14999999999998</v>
      </c>
      <c r="R192">
        <f t="shared" si="13"/>
        <v>30</v>
      </c>
      <c r="S192">
        <f t="shared" si="14"/>
        <v>25.524785377117041</v>
      </c>
      <c r="T192">
        <f t="shared" si="15"/>
        <v>25.443494473291025</v>
      </c>
      <c r="U192">
        <f t="shared" si="16"/>
        <v>25.196125232515044</v>
      </c>
      <c r="V192">
        <f t="shared" si="17"/>
        <v>25.804092012430033</v>
      </c>
      <c r="W192">
        <f t="shared" si="18"/>
        <v>24.954610986310001</v>
      </c>
      <c r="Y192">
        <v>47.5</v>
      </c>
    </row>
    <row r="193" spans="1:25" x14ac:dyDescent="0.25">
      <c r="A193">
        <v>0</v>
      </c>
      <c r="B193">
        <v>1.05676096666033E-4</v>
      </c>
      <c r="C193">
        <v>1.00352577597342E-4</v>
      </c>
      <c r="D193">
        <v>1.05676096666033E-4</v>
      </c>
      <c r="E193" s="1">
        <v>7.8052004797932997E-5</v>
      </c>
      <c r="F193">
        <v>0.1</v>
      </c>
      <c r="G193">
        <v>8.9103824440023901E-4</v>
      </c>
      <c r="H193">
        <v>298.66058494405598</v>
      </c>
      <c r="I193">
        <v>298.581202822379</v>
      </c>
      <c r="J193">
        <v>298.33588163542203</v>
      </c>
      <c r="K193">
        <v>298.93507355201899</v>
      </c>
      <c r="L193">
        <v>298.10060765283202</v>
      </c>
      <c r="M193">
        <v>295.498437499999</v>
      </c>
      <c r="N193">
        <v>0.83476562499999996</v>
      </c>
      <c r="O193" s="1">
        <v>-5.4564811756752598E-8</v>
      </c>
      <c r="Q193">
        <v>299.14999999999998</v>
      </c>
      <c r="R193">
        <f t="shared" si="13"/>
        <v>30</v>
      </c>
      <c r="S193">
        <f t="shared" si="14"/>
        <v>25.510584944056006</v>
      </c>
      <c r="T193">
        <f t="shared" si="15"/>
        <v>25.431202822379021</v>
      </c>
      <c r="U193">
        <f t="shared" si="16"/>
        <v>25.185881635422049</v>
      </c>
      <c r="V193">
        <f t="shared" si="17"/>
        <v>25.785073552019014</v>
      </c>
      <c r="W193">
        <f t="shared" si="18"/>
        <v>24.950607652832048</v>
      </c>
      <c r="Y193">
        <v>47.75</v>
      </c>
    </row>
    <row r="194" spans="1:25" x14ac:dyDescent="0.25">
      <c r="A194">
        <v>0</v>
      </c>
      <c r="B194">
        <v>1.05335325420081E-4</v>
      </c>
      <c r="C194">
        <v>1.00028972979255E-4</v>
      </c>
      <c r="D194">
        <v>1.0533532542007901E-4</v>
      </c>
      <c r="E194" s="1">
        <v>7.7800312317199304E-5</v>
      </c>
      <c r="F194">
        <v>0.1</v>
      </c>
      <c r="G194">
        <v>8.8816474584567102E-4</v>
      </c>
      <c r="H194">
        <v>298.64595692741801</v>
      </c>
      <c r="I194">
        <v>298.56884724610899</v>
      </c>
      <c r="J194">
        <v>298.32545173081098</v>
      </c>
      <c r="K194">
        <v>298.916262445249</v>
      </c>
      <c r="L194">
        <v>298.09656804696999</v>
      </c>
      <c r="M194">
        <v>295.349999999999</v>
      </c>
      <c r="N194">
        <v>0.84</v>
      </c>
      <c r="O194" s="1">
        <v>-5.4213448410622099E-8</v>
      </c>
      <c r="Q194">
        <v>299.14999999999998</v>
      </c>
      <c r="R194">
        <f t="shared" si="13"/>
        <v>30</v>
      </c>
      <c r="S194">
        <f t="shared" si="14"/>
        <v>25.495956927418035</v>
      </c>
      <c r="T194">
        <f t="shared" si="15"/>
        <v>25.41884724610901</v>
      </c>
      <c r="U194">
        <f t="shared" si="16"/>
        <v>25.175451730811005</v>
      </c>
      <c r="V194">
        <f t="shared" si="17"/>
        <v>25.766262445249026</v>
      </c>
      <c r="W194">
        <f t="shared" si="18"/>
        <v>24.946568046970015</v>
      </c>
      <c r="Y194">
        <v>48</v>
      </c>
    </row>
    <row r="195" spans="1:25" x14ac:dyDescent="0.25">
      <c r="A195">
        <v>0</v>
      </c>
      <c r="B195">
        <v>1.053191578053E-4</v>
      </c>
      <c r="C195">
        <v>1.0001361982118399E-4</v>
      </c>
      <c r="D195">
        <v>1.05319157805301E-4</v>
      </c>
      <c r="E195" s="1">
        <v>7.7788370972029403E-5</v>
      </c>
      <c r="F195">
        <v>0.1</v>
      </c>
      <c r="G195">
        <v>8.8802825861842996E-4</v>
      </c>
      <c r="H195">
        <v>298.63155431310099</v>
      </c>
      <c r="I195">
        <v>298.55769123289701</v>
      </c>
      <c r="J195">
        <v>298.316370224661</v>
      </c>
      <c r="K195">
        <v>298.898801774204</v>
      </c>
      <c r="L195">
        <v>298.09354056737197</v>
      </c>
      <c r="M195">
        <v>295.20993303571402</v>
      </c>
      <c r="N195">
        <v>0.846796875</v>
      </c>
      <c r="O195" s="1">
        <v>-5.4196787369438397E-8</v>
      </c>
      <c r="Q195">
        <v>299.14999999999998</v>
      </c>
      <c r="R195">
        <f t="shared" ref="R195:R258" si="19">IF(MOD(Y195,24)&lt;7,30,(IF(MOD(Y195,24)&lt;20,26,30)))</f>
        <v>30</v>
      </c>
      <c r="S195">
        <f t="shared" ref="S195:S258" si="20">H195-273.15</f>
        <v>25.481554313101014</v>
      </c>
      <c r="T195">
        <f t="shared" ref="T195:T258" si="21">I195-273.15</f>
        <v>25.407691232897037</v>
      </c>
      <c r="U195">
        <f t="shared" ref="U195:U258" si="22">J195-273.15</f>
        <v>25.166370224661023</v>
      </c>
      <c r="V195">
        <f t="shared" ref="V195:V258" si="23">K195-273.15</f>
        <v>25.748801774204026</v>
      </c>
      <c r="W195">
        <f t="shared" ref="W195:W258" si="24">L195-273.15</f>
        <v>24.943540567371997</v>
      </c>
      <c r="Y195">
        <v>48.25</v>
      </c>
    </row>
    <row r="196" spans="1:25" x14ac:dyDescent="0.25">
      <c r="A196">
        <v>0</v>
      </c>
      <c r="B196">
        <v>1.04970780535047E-4</v>
      </c>
      <c r="C196" s="1">
        <v>9.9682792338439297E-5</v>
      </c>
      <c r="D196">
        <v>1.0497078053504801E-4</v>
      </c>
      <c r="E196" s="1">
        <v>7.7531060707675107E-5</v>
      </c>
      <c r="F196">
        <v>0.1</v>
      </c>
      <c r="G196">
        <v>8.8509067028043396E-4</v>
      </c>
      <c r="H196">
        <v>298.61783043928301</v>
      </c>
      <c r="I196">
        <v>298.54721897896297</v>
      </c>
      <c r="J196">
        <v>298.30797104402501</v>
      </c>
      <c r="K196">
        <v>298.88224339010401</v>
      </c>
      <c r="L196">
        <v>298.09134334557399</v>
      </c>
      <c r="M196">
        <v>295.08065476190399</v>
      </c>
      <c r="N196">
        <v>0.85499999999999998</v>
      </c>
      <c r="O196" s="1">
        <v>-5.3838815604406402E-8</v>
      </c>
      <c r="Q196">
        <v>299.14999999999998</v>
      </c>
      <c r="R196">
        <f t="shared" si="19"/>
        <v>30</v>
      </c>
      <c r="S196">
        <f t="shared" si="20"/>
        <v>25.467830439283034</v>
      </c>
      <c r="T196">
        <f t="shared" si="21"/>
        <v>25.397218978962997</v>
      </c>
      <c r="U196">
        <f t="shared" si="22"/>
        <v>25.157971044025032</v>
      </c>
      <c r="V196">
        <f t="shared" si="23"/>
        <v>25.732243390104031</v>
      </c>
      <c r="W196">
        <f t="shared" si="24"/>
        <v>24.941343345574012</v>
      </c>
      <c r="Y196">
        <v>48.5</v>
      </c>
    </row>
    <row r="197" spans="1:25" x14ac:dyDescent="0.25">
      <c r="A197">
        <v>0</v>
      </c>
      <c r="B197">
        <v>1.04083458567607E-4</v>
      </c>
      <c r="C197" s="1">
        <v>9.8840169934690406E-5</v>
      </c>
      <c r="D197">
        <v>1.04083458567607E-4</v>
      </c>
      <c r="E197" s="1">
        <v>7.6875687726981807E-5</v>
      </c>
      <c r="F197">
        <v>0.1</v>
      </c>
      <c r="G197">
        <v>8.77608846544606E-4</v>
      </c>
      <c r="H197">
        <v>298.60476785446002</v>
      </c>
      <c r="I197">
        <v>298.53707187929501</v>
      </c>
      <c r="J197">
        <v>298.29968624066299</v>
      </c>
      <c r="K197">
        <v>298.86624220131199</v>
      </c>
      <c r="L197">
        <v>298.08973988680401</v>
      </c>
      <c r="M197">
        <v>294.961049107142</v>
      </c>
      <c r="N197">
        <v>0.86320312499999996</v>
      </c>
      <c r="O197" s="1">
        <v>-5.2932445172182502E-8</v>
      </c>
      <c r="Q197">
        <v>299.14999999999998</v>
      </c>
      <c r="R197">
        <f t="shared" si="19"/>
        <v>30</v>
      </c>
      <c r="S197">
        <f t="shared" si="20"/>
        <v>25.454767854460044</v>
      </c>
      <c r="T197">
        <f t="shared" si="21"/>
        <v>25.387071879295036</v>
      </c>
      <c r="U197">
        <f t="shared" si="22"/>
        <v>25.149686240663016</v>
      </c>
      <c r="V197">
        <f t="shared" si="23"/>
        <v>25.716242201312014</v>
      </c>
      <c r="W197">
        <f t="shared" si="24"/>
        <v>24.939739886804034</v>
      </c>
      <c r="Y197">
        <v>48.75</v>
      </c>
    </row>
    <row r="198" spans="1:25" x14ac:dyDescent="0.25">
      <c r="A198">
        <v>0</v>
      </c>
      <c r="B198">
        <v>1.03104040393572E-4</v>
      </c>
      <c r="C198" s="1">
        <v>9.7910090745445395E-5</v>
      </c>
      <c r="D198">
        <v>1.03104040393574E-4</v>
      </c>
      <c r="E198" s="1">
        <v>7.6152292802012005E-5</v>
      </c>
      <c r="F198">
        <v>0.1</v>
      </c>
      <c r="G198">
        <v>8.6935051964574003E-4</v>
      </c>
      <c r="H198">
        <v>298.59233917941998</v>
      </c>
      <c r="I198">
        <v>298.52723545521798</v>
      </c>
      <c r="J198">
        <v>298.291589467856</v>
      </c>
      <c r="K198">
        <v>298.85073480777999</v>
      </c>
      <c r="L198">
        <v>298.08847461093399</v>
      </c>
      <c r="M198">
        <v>294.849999999999</v>
      </c>
      <c r="N198">
        <v>0.87</v>
      </c>
      <c r="O198" s="1">
        <v>-5.1940940317146098E-8</v>
      </c>
      <c r="Q198">
        <v>299.14999999999998</v>
      </c>
      <c r="R198">
        <f t="shared" si="19"/>
        <v>30</v>
      </c>
      <c r="S198">
        <f t="shared" si="20"/>
        <v>25.442339179420003</v>
      </c>
      <c r="T198">
        <f t="shared" si="21"/>
        <v>25.377235455217999</v>
      </c>
      <c r="U198">
        <f t="shared" si="22"/>
        <v>25.141589467856022</v>
      </c>
      <c r="V198">
        <f t="shared" si="23"/>
        <v>25.700734807780009</v>
      </c>
      <c r="W198">
        <f t="shared" si="24"/>
        <v>24.938474610934009</v>
      </c>
      <c r="Y198">
        <v>49</v>
      </c>
    </row>
    <row r="199" spans="1:25" x14ac:dyDescent="0.25">
      <c r="A199">
        <v>0</v>
      </c>
      <c r="B199">
        <v>1.0161518400855399E-4</v>
      </c>
      <c r="C199" s="1">
        <v>9.6496236708224804E-5</v>
      </c>
      <c r="D199">
        <v>1.01615184008555E-4</v>
      </c>
      <c r="E199" s="1">
        <v>7.5052628550841298E-5</v>
      </c>
      <c r="F199">
        <v>0.1</v>
      </c>
      <c r="G199">
        <v>8.5679675443187597E-4</v>
      </c>
      <c r="H199">
        <v>298.58193281614501</v>
      </c>
      <c r="I199">
        <v>298.51825404935698</v>
      </c>
      <c r="J199">
        <v>298.28428035679002</v>
      </c>
      <c r="K199">
        <v>298.83622325546901</v>
      </c>
      <c r="L199">
        <v>298.08810308559998</v>
      </c>
      <c r="M199">
        <v>294.79800420167999</v>
      </c>
      <c r="N199">
        <v>0.87400781249999904</v>
      </c>
      <c r="O199" s="1">
        <v>-5.0451675875126502E-8</v>
      </c>
      <c r="Q199">
        <v>299.14999999999998</v>
      </c>
      <c r="R199">
        <f t="shared" si="19"/>
        <v>30</v>
      </c>
      <c r="S199">
        <f t="shared" si="20"/>
        <v>25.431932816145036</v>
      </c>
      <c r="T199">
        <f t="shared" si="21"/>
        <v>25.368254049357006</v>
      </c>
      <c r="U199">
        <f t="shared" si="22"/>
        <v>25.134280356790043</v>
      </c>
      <c r="V199">
        <f t="shared" si="23"/>
        <v>25.686223255469031</v>
      </c>
      <c r="W199">
        <f t="shared" si="24"/>
        <v>24.938103085600005</v>
      </c>
      <c r="Y199">
        <v>49.25</v>
      </c>
    </row>
    <row r="200" spans="1:25" x14ac:dyDescent="0.25">
      <c r="A200">
        <v>0</v>
      </c>
      <c r="B200" s="1">
        <v>9.9884726213278404E-5</v>
      </c>
      <c r="C200" s="1">
        <v>9.48529521277174E-5</v>
      </c>
      <c r="D200" s="1">
        <v>9.9884726213280098E-5</v>
      </c>
      <c r="E200" s="1">
        <v>7.3774518321553906E-5</v>
      </c>
      <c r="F200">
        <v>0.1</v>
      </c>
      <c r="G200">
        <v>8.4220589847557004E-4</v>
      </c>
      <c r="H200">
        <v>298.57534347410302</v>
      </c>
      <c r="I200">
        <v>298.51087403664002</v>
      </c>
      <c r="J200">
        <v>298.27862031624898</v>
      </c>
      <c r="K200">
        <v>298.82262059047099</v>
      </c>
      <c r="L200">
        <v>298.08919871979498</v>
      </c>
      <c r="M200">
        <v>294.818487394957</v>
      </c>
      <c r="N200">
        <v>0.87506249999999997</v>
      </c>
      <c r="O200" s="1">
        <v>-4.8747969303519798E-8</v>
      </c>
      <c r="Q200">
        <v>299.14999999999998</v>
      </c>
      <c r="R200">
        <f t="shared" si="19"/>
        <v>30</v>
      </c>
      <c r="S200">
        <f t="shared" si="20"/>
        <v>25.425343474103045</v>
      </c>
      <c r="T200">
        <f t="shared" si="21"/>
        <v>25.360874036640041</v>
      </c>
      <c r="U200">
        <f t="shared" si="22"/>
        <v>25.128620316248998</v>
      </c>
      <c r="V200">
        <f t="shared" si="23"/>
        <v>25.672620590471013</v>
      </c>
      <c r="W200">
        <f t="shared" si="24"/>
        <v>24.939198719795002</v>
      </c>
      <c r="Y200">
        <v>49.5</v>
      </c>
    </row>
    <row r="201" spans="1:25" x14ac:dyDescent="0.25">
      <c r="A201">
        <v>0</v>
      </c>
      <c r="B201" s="1">
        <v>9.8786447428087906E-5</v>
      </c>
      <c r="C201" s="1">
        <v>9.3810000026990804E-5</v>
      </c>
      <c r="D201" s="1">
        <v>9.8786447428086903E-5</v>
      </c>
      <c r="E201" s="1">
        <v>7.2963333354325805E-5</v>
      </c>
      <c r="F201">
        <v>0.1</v>
      </c>
      <c r="G201">
        <v>8.3294546839309403E-4</v>
      </c>
      <c r="H201">
        <v>298.57086380093898</v>
      </c>
      <c r="I201">
        <v>298.50377371720401</v>
      </c>
      <c r="J201">
        <v>298.27368247704698</v>
      </c>
      <c r="K201">
        <v>298.80098210199702</v>
      </c>
      <c r="L201">
        <v>298.08941886653997</v>
      </c>
      <c r="M201">
        <v>294.85472689075601</v>
      </c>
      <c r="N201">
        <v>0.87358593750000002</v>
      </c>
      <c r="O201" s="1">
        <v>-4.7681851527426299E-8</v>
      </c>
      <c r="Q201">
        <v>299.14999999999998</v>
      </c>
      <c r="R201">
        <f t="shared" si="19"/>
        <v>30</v>
      </c>
      <c r="S201">
        <f t="shared" si="20"/>
        <v>25.420863800939003</v>
      </c>
      <c r="T201">
        <f t="shared" si="21"/>
        <v>25.353773717204035</v>
      </c>
      <c r="U201">
        <f t="shared" si="22"/>
        <v>25.123682477046998</v>
      </c>
      <c r="V201">
        <f t="shared" si="23"/>
        <v>25.650982101997045</v>
      </c>
      <c r="W201">
        <f t="shared" si="24"/>
        <v>24.939418866539995</v>
      </c>
      <c r="Y201">
        <v>49.75</v>
      </c>
    </row>
    <row r="202" spans="1:25" x14ac:dyDescent="0.25">
      <c r="A202">
        <v>0</v>
      </c>
      <c r="B202" s="1">
        <v>9.8563586805424698E-5</v>
      </c>
      <c r="C202" s="1">
        <v>9.3598366188926398E-5</v>
      </c>
      <c r="D202" s="1">
        <v>9.8563586805424698E-5</v>
      </c>
      <c r="E202" s="1">
        <v>7.2798729258053796E-5</v>
      </c>
      <c r="F202">
        <v>0.1</v>
      </c>
      <c r="G202">
        <v>8.3106638419860803E-4</v>
      </c>
      <c r="H202">
        <v>298.566120481307</v>
      </c>
      <c r="I202">
        <v>298.496303759189</v>
      </c>
      <c r="J202">
        <v>298.26852069956601</v>
      </c>
      <c r="K202">
        <v>298.78196642229398</v>
      </c>
      <c r="L202">
        <v>298.08889988637702</v>
      </c>
      <c r="M202">
        <v>294.849999999999</v>
      </c>
      <c r="N202">
        <v>0.87</v>
      </c>
      <c r="O202" s="1">
        <v>-4.7466958350445202E-8</v>
      </c>
      <c r="Q202">
        <v>299.14999999999998</v>
      </c>
      <c r="R202">
        <f t="shared" si="19"/>
        <v>30</v>
      </c>
      <c r="S202">
        <f t="shared" si="20"/>
        <v>25.416120481307019</v>
      </c>
      <c r="T202">
        <f t="shared" si="21"/>
        <v>25.346303759189027</v>
      </c>
      <c r="U202">
        <f t="shared" si="22"/>
        <v>25.118520699566034</v>
      </c>
      <c r="V202">
        <f t="shared" si="23"/>
        <v>25.631966422293999</v>
      </c>
      <c r="W202">
        <f t="shared" si="24"/>
        <v>24.938899886377044</v>
      </c>
      <c r="Y202">
        <v>50</v>
      </c>
    </row>
    <row r="203" spans="1:25" x14ac:dyDescent="0.25">
      <c r="A203">
        <v>0</v>
      </c>
      <c r="B203" s="1">
        <v>9.8759421046757404E-5</v>
      </c>
      <c r="C203" s="1">
        <v>9.3784335121533004E-5</v>
      </c>
      <c r="D203" s="1">
        <v>9.8759421046755899E-5</v>
      </c>
      <c r="E203" s="1">
        <v>7.2943371761192098E-5</v>
      </c>
      <c r="F203">
        <v>0.1</v>
      </c>
      <c r="G203">
        <v>8.3271764136068295E-4</v>
      </c>
      <c r="H203">
        <v>298.55670956858899</v>
      </c>
      <c r="I203">
        <v>298.48801921839799</v>
      </c>
      <c r="J203">
        <v>298.262409961733</v>
      </c>
      <c r="K203">
        <v>298.763899357843</v>
      </c>
      <c r="L203">
        <v>298.08748764800202</v>
      </c>
      <c r="M203">
        <v>294.73143382352902</v>
      </c>
      <c r="N203">
        <v>0.86440384615384602</v>
      </c>
      <c r="O203" s="1">
        <v>-4.7655771238875398E-8</v>
      </c>
      <c r="Q203">
        <v>299.14999999999998</v>
      </c>
      <c r="R203">
        <f t="shared" si="19"/>
        <v>30</v>
      </c>
      <c r="S203">
        <f t="shared" si="20"/>
        <v>25.406709568589008</v>
      </c>
      <c r="T203">
        <f t="shared" si="21"/>
        <v>25.338019218398017</v>
      </c>
      <c r="U203">
        <f t="shared" si="22"/>
        <v>25.112409961733022</v>
      </c>
      <c r="V203">
        <f t="shared" si="23"/>
        <v>25.613899357843025</v>
      </c>
      <c r="W203">
        <f t="shared" si="24"/>
        <v>24.937487648002048</v>
      </c>
      <c r="Y203">
        <v>50.25</v>
      </c>
    </row>
    <row r="204" spans="1:25" x14ac:dyDescent="0.25">
      <c r="A204">
        <v>0</v>
      </c>
      <c r="B204" s="1">
        <v>9.9021215474089702E-5</v>
      </c>
      <c r="C204" s="1">
        <v>9.4032941442288693E-5</v>
      </c>
      <c r="D204" s="1">
        <v>9.9021215474089702E-5</v>
      </c>
      <c r="E204" s="1">
        <v>7.3136732232891195E-5</v>
      </c>
      <c r="F204">
        <v>0.1</v>
      </c>
      <c r="G204">
        <v>8.34925053606331E-4</v>
      </c>
      <c r="H204">
        <v>298.539628578796</v>
      </c>
      <c r="I204">
        <v>298.47793015735903</v>
      </c>
      <c r="J204">
        <v>298.25429160621502</v>
      </c>
      <c r="K204">
        <v>298.74332916946798</v>
      </c>
      <c r="L204">
        <v>298.08412099001498</v>
      </c>
      <c r="M204">
        <v>294.52794117646999</v>
      </c>
      <c r="N204">
        <v>0.85707692307692296</v>
      </c>
      <c r="O204" s="1">
        <v>-4.7908763026885398E-8</v>
      </c>
      <c r="Q204">
        <v>299.14999999999998</v>
      </c>
      <c r="R204">
        <f t="shared" si="19"/>
        <v>30</v>
      </c>
      <c r="S204">
        <f t="shared" si="20"/>
        <v>25.389628578796021</v>
      </c>
      <c r="T204">
        <f t="shared" si="21"/>
        <v>25.327930157359049</v>
      </c>
      <c r="U204">
        <f t="shared" si="22"/>
        <v>25.104291606215043</v>
      </c>
      <c r="V204">
        <f t="shared" si="23"/>
        <v>25.593329169468007</v>
      </c>
      <c r="W204">
        <f t="shared" si="24"/>
        <v>24.934120990015003</v>
      </c>
      <c r="Y204">
        <v>50.5</v>
      </c>
    </row>
    <row r="205" spans="1:25" x14ac:dyDescent="0.25">
      <c r="A205">
        <v>0</v>
      </c>
      <c r="B205" s="1">
        <v>9.9227392811177795E-5</v>
      </c>
      <c r="C205" s="1">
        <v>9.42287324288188E-5</v>
      </c>
      <c r="D205" s="1">
        <v>9.9227392811179204E-5</v>
      </c>
      <c r="E205" s="1">
        <v>7.3289014111307306E-5</v>
      </c>
      <c r="F205">
        <v>0.1</v>
      </c>
      <c r="G205">
        <v>8.3666350870225596E-4</v>
      </c>
      <c r="H205">
        <v>298.51833974467303</v>
      </c>
      <c r="I205">
        <v>298.46654557313502</v>
      </c>
      <c r="J205">
        <v>298.24461270584999</v>
      </c>
      <c r="K205">
        <v>298.72275172365897</v>
      </c>
      <c r="L205">
        <v>298.07945078299798</v>
      </c>
      <c r="M205">
        <v>294.33547794117601</v>
      </c>
      <c r="N205">
        <v>0.84871153846153802</v>
      </c>
      <c r="O205" s="1">
        <v>-4.81084790179497E-8</v>
      </c>
      <c r="Q205">
        <v>299.14999999999998</v>
      </c>
      <c r="R205">
        <f t="shared" si="19"/>
        <v>30</v>
      </c>
      <c r="S205">
        <f t="shared" si="20"/>
        <v>25.368339744673051</v>
      </c>
      <c r="T205">
        <f t="shared" si="21"/>
        <v>25.316545573135045</v>
      </c>
      <c r="U205">
        <f t="shared" si="22"/>
        <v>25.094612705850011</v>
      </c>
      <c r="V205">
        <f t="shared" si="23"/>
        <v>25.572751723658996</v>
      </c>
      <c r="W205">
        <f t="shared" si="24"/>
        <v>24.929450782998003</v>
      </c>
      <c r="Y205">
        <v>50.75</v>
      </c>
    </row>
    <row r="206" spans="1:25" x14ac:dyDescent="0.25">
      <c r="A206">
        <v>0</v>
      </c>
      <c r="B206" s="1">
        <v>9.9533073612493106E-5</v>
      </c>
      <c r="C206" s="1">
        <v>9.4519014311868796E-5</v>
      </c>
      <c r="D206" s="1">
        <v>9.9533073612490097E-5</v>
      </c>
      <c r="E206" s="1">
        <v>7.3514788909232904E-5</v>
      </c>
      <c r="F206">
        <v>0.1</v>
      </c>
      <c r="G206">
        <v>8.3924094981999305E-4</v>
      </c>
      <c r="H206">
        <v>298.49867592598002</v>
      </c>
      <c r="I206">
        <v>298.45536774190703</v>
      </c>
      <c r="J206">
        <v>298.23495843500598</v>
      </c>
      <c r="K206">
        <v>298.70651675084798</v>
      </c>
      <c r="L206">
        <v>298.07504242423602</v>
      </c>
      <c r="M206">
        <v>294.25</v>
      </c>
      <c r="N206">
        <v>0.84</v>
      </c>
      <c r="O206" s="1">
        <v>-4.84053433224599E-8</v>
      </c>
      <c r="Q206">
        <v>299.14999999999998</v>
      </c>
      <c r="R206">
        <f t="shared" si="19"/>
        <v>30</v>
      </c>
      <c r="S206">
        <f t="shared" si="20"/>
        <v>25.348675925980046</v>
      </c>
      <c r="T206">
        <f t="shared" si="21"/>
        <v>25.305367741907048</v>
      </c>
      <c r="U206">
        <f t="shared" si="22"/>
        <v>25.084958435006001</v>
      </c>
      <c r="V206">
        <f t="shared" si="23"/>
        <v>25.556516750848004</v>
      </c>
      <c r="W206">
        <f t="shared" si="24"/>
        <v>24.92504242423604</v>
      </c>
      <c r="Y206">
        <v>51</v>
      </c>
    </row>
    <row r="207" spans="1:25" x14ac:dyDescent="0.25">
      <c r="A207">
        <v>0</v>
      </c>
      <c r="B207">
        <v>1.00232006935549E-4</v>
      </c>
      <c r="C207" s="1">
        <v>9.5182738301972304E-5</v>
      </c>
      <c r="D207">
        <v>1.00232006935548E-4</v>
      </c>
      <c r="E207" s="1">
        <v>7.4031018679312203E-5</v>
      </c>
      <c r="F207">
        <v>0.1</v>
      </c>
      <c r="G207">
        <v>8.45134201918613E-4</v>
      </c>
      <c r="H207">
        <v>298.48605695477301</v>
      </c>
      <c r="I207">
        <v>298.44628478982003</v>
      </c>
      <c r="J207">
        <v>298.22748822578001</v>
      </c>
      <c r="K207">
        <v>298.701258342156</v>
      </c>
      <c r="L207">
        <v>298.07284231850502</v>
      </c>
      <c r="M207">
        <v>294.33029891304301</v>
      </c>
      <c r="N207">
        <v>0.82862179487179399</v>
      </c>
      <c r="O207" s="1">
        <v>-4.9087546624322803E-8</v>
      </c>
      <c r="Q207">
        <v>299.14999999999998</v>
      </c>
      <c r="R207">
        <f t="shared" si="19"/>
        <v>30</v>
      </c>
      <c r="S207">
        <f t="shared" si="20"/>
        <v>25.336056954773028</v>
      </c>
      <c r="T207">
        <f t="shared" si="21"/>
        <v>25.296284789820049</v>
      </c>
      <c r="U207">
        <f t="shared" si="22"/>
        <v>25.07748822578003</v>
      </c>
      <c r="V207">
        <f t="shared" si="23"/>
        <v>25.551258342156018</v>
      </c>
      <c r="W207">
        <f t="shared" si="24"/>
        <v>24.922842318505047</v>
      </c>
      <c r="Y207">
        <v>51.25</v>
      </c>
    </row>
    <row r="208" spans="1:25" x14ac:dyDescent="0.25">
      <c r="A208">
        <v>0</v>
      </c>
      <c r="B208">
        <v>1.0146611890702499E-4</v>
      </c>
      <c r="C208" s="1">
        <v>9.63546808820702E-5</v>
      </c>
      <c r="D208">
        <v>1.0146611890702499E-4</v>
      </c>
      <c r="E208" s="1">
        <v>7.4942529574943497E-5</v>
      </c>
      <c r="F208">
        <v>0.1</v>
      </c>
      <c r="G208">
        <v>8.5553994463144403E-4</v>
      </c>
      <c r="H208">
        <v>298.48167517576599</v>
      </c>
      <c r="I208">
        <v>298.44048825119</v>
      </c>
      <c r="J208">
        <v>298.22358706586198</v>
      </c>
      <c r="K208">
        <v>298.70772486758102</v>
      </c>
      <c r="L208">
        <v>298.07384793147799</v>
      </c>
      <c r="M208">
        <v>294.51413043478198</v>
      </c>
      <c r="N208">
        <v>0.81414529914529898</v>
      </c>
      <c r="O208" s="1">
        <v>-5.0303772292198102E-8</v>
      </c>
      <c r="Q208">
        <v>299.14999999999998</v>
      </c>
      <c r="R208">
        <f t="shared" si="19"/>
        <v>30</v>
      </c>
      <c r="S208">
        <f t="shared" si="20"/>
        <v>25.331675175766009</v>
      </c>
      <c r="T208">
        <f t="shared" si="21"/>
        <v>25.290488251190027</v>
      </c>
      <c r="U208">
        <f t="shared" si="22"/>
        <v>25.073587065862</v>
      </c>
      <c r="V208">
        <f t="shared" si="23"/>
        <v>25.557724867581044</v>
      </c>
      <c r="W208">
        <f t="shared" si="24"/>
        <v>24.923847931478008</v>
      </c>
      <c r="Y208">
        <v>51.5</v>
      </c>
    </row>
    <row r="209" spans="1:25" x14ac:dyDescent="0.25">
      <c r="A209">
        <v>0</v>
      </c>
      <c r="B209">
        <v>1.0231120817713301E-4</v>
      </c>
      <c r="C209" s="1">
        <v>9.7157198094862296E-5</v>
      </c>
      <c r="D209">
        <v>1.0231120817713301E-4</v>
      </c>
      <c r="E209" s="1">
        <v>7.5566709629337606E-5</v>
      </c>
      <c r="F209">
        <v>0.1</v>
      </c>
      <c r="G209">
        <v>8.6266551148426204E-4</v>
      </c>
      <c r="H209">
        <v>298.48191374988801</v>
      </c>
      <c r="I209">
        <v>298.436468541539</v>
      </c>
      <c r="J209">
        <v>298.22199521096798</v>
      </c>
      <c r="K209">
        <v>298.70384152431097</v>
      </c>
      <c r="L209">
        <v>298.07571791033399</v>
      </c>
      <c r="M209">
        <v>294.71589673913002</v>
      </c>
      <c r="N209">
        <v>0.80009615384615296</v>
      </c>
      <c r="O209" s="1">
        <v>-5.1145195496093703E-8</v>
      </c>
      <c r="Q209">
        <v>299.14999999999998</v>
      </c>
      <c r="R209">
        <f t="shared" si="19"/>
        <v>30</v>
      </c>
      <c r="S209">
        <f t="shared" si="20"/>
        <v>25.331913749888031</v>
      </c>
      <c r="T209">
        <f t="shared" si="21"/>
        <v>25.286468541539023</v>
      </c>
      <c r="U209">
        <f t="shared" si="22"/>
        <v>25.071995210967998</v>
      </c>
      <c r="V209">
        <f t="shared" si="23"/>
        <v>25.553841524310997</v>
      </c>
      <c r="W209">
        <f t="shared" si="24"/>
        <v>24.925717910334015</v>
      </c>
      <c r="Y209">
        <v>51.75</v>
      </c>
    </row>
    <row r="210" spans="1:25" x14ac:dyDescent="0.25">
      <c r="A210">
        <v>0</v>
      </c>
      <c r="B210">
        <v>1.03103212348669E-4</v>
      </c>
      <c r="C210" s="1">
        <v>9.7909304413972898E-5</v>
      </c>
      <c r="D210">
        <v>1.03103212348669E-4</v>
      </c>
      <c r="E210" s="1">
        <v>7.6151681210867903E-5</v>
      </c>
      <c r="F210">
        <v>0.1</v>
      </c>
      <c r="G210">
        <v>8.6934346446563302E-4</v>
      </c>
      <c r="H210">
        <v>298.480121626835</v>
      </c>
      <c r="I210">
        <v>298.43208220763398</v>
      </c>
      <c r="J210">
        <v>298.22041254562998</v>
      </c>
      <c r="K210">
        <v>298.69530271200199</v>
      </c>
      <c r="L210">
        <v>298.07664853565302</v>
      </c>
      <c r="M210">
        <v>294.849999999999</v>
      </c>
      <c r="N210">
        <v>0.79</v>
      </c>
      <c r="O210" s="1">
        <v>-5.1940097271231697E-8</v>
      </c>
      <c r="Q210">
        <v>299.14999999999998</v>
      </c>
      <c r="R210">
        <f t="shared" si="19"/>
        <v>30</v>
      </c>
      <c r="S210">
        <f t="shared" si="20"/>
        <v>25.330121626835023</v>
      </c>
      <c r="T210">
        <f t="shared" si="21"/>
        <v>25.282082207634005</v>
      </c>
      <c r="U210">
        <f t="shared" si="22"/>
        <v>25.070412545630006</v>
      </c>
      <c r="V210">
        <f t="shared" si="23"/>
        <v>25.545302712002012</v>
      </c>
      <c r="W210">
        <f t="shared" si="24"/>
        <v>24.926648535653044</v>
      </c>
      <c r="Y210">
        <v>52</v>
      </c>
    </row>
    <row r="211" spans="1:25" x14ac:dyDescent="0.25">
      <c r="A211">
        <v>0</v>
      </c>
      <c r="B211">
        <v>1.04343103008075E-4</v>
      </c>
      <c r="C211" s="1">
        <v>9.9086734575909194E-5</v>
      </c>
      <c r="D211">
        <v>1.04343103008075E-4</v>
      </c>
      <c r="E211" s="1">
        <v>7.7067460225707098E-5</v>
      </c>
      <c r="F211">
        <v>0.1</v>
      </c>
      <c r="G211">
        <v>8.7979788050985598E-4</v>
      </c>
      <c r="H211">
        <v>298.47222526394398</v>
      </c>
      <c r="I211">
        <v>298.42639377597601</v>
      </c>
      <c r="J211">
        <v>298.21749849259402</v>
      </c>
      <c r="K211">
        <v>298.68557683757501</v>
      </c>
      <c r="L211">
        <v>298.07605084449699</v>
      </c>
      <c r="M211">
        <v>294.87215473145699</v>
      </c>
      <c r="N211">
        <v>0.79390625000000004</v>
      </c>
      <c r="O211" s="1">
        <v>-5.3196835008632801E-8</v>
      </c>
      <c r="Q211">
        <v>299.14999999999998</v>
      </c>
      <c r="R211">
        <f t="shared" si="19"/>
        <v>30</v>
      </c>
      <c r="S211">
        <f t="shared" si="20"/>
        <v>25.322225263944006</v>
      </c>
      <c r="T211">
        <f t="shared" si="21"/>
        <v>25.276393775976032</v>
      </c>
      <c r="U211">
        <f t="shared" si="22"/>
        <v>25.067498492594041</v>
      </c>
      <c r="V211">
        <f t="shared" si="23"/>
        <v>25.535576837575036</v>
      </c>
      <c r="W211">
        <f t="shared" si="24"/>
        <v>24.926050844497013</v>
      </c>
      <c r="Y211">
        <v>52.25</v>
      </c>
    </row>
    <row r="212" spans="1:25" x14ac:dyDescent="0.25">
      <c r="A212">
        <v>0</v>
      </c>
      <c r="B212">
        <v>1.0552921473799601E-4</v>
      </c>
      <c r="C212">
        <v>1.00213094965546E-4</v>
      </c>
      <c r="D212">
        <v>1.05529214737997E-4</v>
      </c>
      <c r="E212" s="1">
        <v>7.7943518306535802E-5</v>
      </c>
      <c r="F212">
        <v>0.1</v>
      </c>
      <c r="G212">
        <v>8.8979882235934102E-4</v>
      </c>
      <c r="H212">
        <v>298.46103879540698</v>
      </c>
      <c r="I212">
        <v>298.41938359872199</v>
      </c>
      <c r="J212">
        <v>298.212986813052</v>
      </c>
      <c r="K212">
        <v>298.67470660678498</v>
      </c>
      <c r="L212">
        <v>298.074232834116</v>
      </c>
      <c r="M212">
        <v>294.83734015345198</v>
      </c>
      <c r="N212">
        <v>0.81152777777777696</v>
      </c>
      <c r="O212" s="1">
        <v>-5.44131195137241E-8</v>
      </c>
      <c r="Q212">
        <v>299.14999999999998</v>
      </c>
      <c r="R212">
        <f t="shared" si="19"/>
        <v>30</v>
      </c>
      <c r="S212">
        <f t="shared" si="20"/>
        <v>25.311038795407001</v>
      </c>
      <c r="T212">
        <f t="shared" si="21"/>
        <v>25.269383598722015</v>
      </c>
      <c r="U212">
        <f t="shared" si="22"/>
        <v>25.062986813052021</v>
      </c>
      <c r="V212">
        <f t="shared" si="23"/>
        <v>25.524706606785003</v>
      </c>
      <c r="W212">
        <f t="shared" si="24"/>
        <v>24.924232834116026</v>
      </c>
      <c r="Y212">
        <v>52.5</v>
      </c>
    </row>
    <row r="213" spans="1:25" x14ac:dyDescent="0.25">
      <c r="A213">
        <v>0</v>
      </c>
      <c r="B213">
        <v>1.06299225819312E-4</v>
      </c>
      <c r="C213">
        <v>1.0094431611419199E-4</v>
      </c>
      <c r="D213">
        <v>1.0629922581931401E-4</v>
      </c>
      <c r="E213" s="1">
        <v>7.8512245866594604E-5</v>
      </c>
      <c r="F213">
        <v>0.1</v>
      </c>
      <c r="G213">
        <v>8.96291278984281E-4</v>
      </c>
      <c r="H213">
        <v>298.449514442431</v>
      </c>
      <c r="I213">
        <v>298.41326678418102</v>
      </c>
      <c r="J213">
        <v>298.20868830389901</v>
      </c>
      <c r="K213">
        <v>298.66388883454903</v>
      </c>
      <c r="L213">
        <v>298.07234089615798</v>
      </c>
      <c r="M213">
        <v>294.80885549872102</v>
      </c>
      <c r="N213">
        <v>0.83088541666666604</v>
      </c>
      <c r="O213" s="1">
        <v>-5.5210071930520798E-8</v>
      </c>
      <c r="Q213">
        <v>299.14999999999998</v>
      </c>
      <c r="R213">
        <f t="shared" si="19"/>
        <v>30</v>
      </c>
      <c r="S213">
        <f t="shared" si="20"/>
        <v>25.299514442431018</v>
      </c>
      <c r="T213">
        <f t="shared" si="21"/>
        <v>25.263266784181042</v>
      </c>
      <c r="U213">
        <f t="shared" si="22"/>
        <v>25.058688303899032</v>
      </c>
      <c r="V213">
        <f t="shared" si="23"/>
        <v>25.51388883454905</v>
      </c>
      <c r="W213">
        <f t="shared" si="24"/>
        <v>24.922340896158005</v>
      </c>
      <c r="Y213">
        <v>52.75</v>
      </c>
    </row>
    <row r="214" spans="1:25" x14ac:dyDescent="0.25">
      <c r="A214">
        <v>0</v>
      </c>
      <c r="B214">
        <v>1.06224114874288E-4</v>
      </c>
      <c r="C214">
        <v>1.0087298894394399E-4</v>
      </c>
      <c r="D214">
        <v>1.06224114874288E-4</v>
      </c>
      <c r="E214" s="1">
        <v>7.8456769178621494E-5</v>
      </c>
      <c r="F214">
        <v>0.1</v>
      </c>
      <c r="G214">
        <v>8.9565785297313896E-4</v>
      </c>
      <c r="H214">
        <v>298.44259222992099</v>
      </c>
      <c r="I214">
        <v>298.41710478251298</v>
      </c>
      <c r="J214">
        <v>298.21102037341302</v>
      </c>
      <c r="K214">
        <v>298.65610931674502</v>
      </c>
      <c r="L214">
        <v>298.073188807039</v>
      </c>
      <c r="M214">
        <v>294.849999999999</v>
      </c>
      <c r="N214">
        <v>0.84</v>
      </c>
      <c r="O214" s="1">
        <v>-5.5132063499671198E-8</v>
      </c>
      <c r="Q214">
        <v>299.14999999999998</v>
      </c>
      <c r="R214">
        <f t="shared" si="19"/>
        <v>30</v>
      </c>
      <c r="S214">
        <f t="shared" si="20"/>
        <v>25.292592229921013</v>
      </c>
      <c r="T214">
        <f t="shared" si="21"/>
        <v>25.267104782513002</v>
      </c>
      <c r="U214">
        <f t="shared" si="22"/>
        <v>25.061020373413044</v>
      </c>
      <c r="V214">
        <f t="shared" si="23"/>
        <v>25.506109316745039</v>
      </c>
      <c r="W214">
        <f t="shared" si="24"/>
        <v>24.923188807039026</v>
      </c>
      <c r="Y214">
        <v>53</v>
      </c>
    </row>
    <row r="215" spans="1:25" x14ac:dyDescent="0.25">
      <c r="A215">
        <v>0</v>
      </c>
      <c r="B215">
        <v>1.04252191684262E-4</v>
      </c>
      <c r="C215" s="1">
        <v>9.9000402983754596E-5</v>
      </c>
      <c r="D215">
        <v>1.0425219168425901E-4</v>
      </c>
      <c r="E215" s="1">
        <v>7.7000313431810103E-5</v>
      </c>
      <c r="F215">
        <v>0.1</v>
      </c>
      <c r="G215">
        <v>8.7903095660606795E-4</v>
      </c>
      <c r="H215">
        <v>298.44559652960697</v>
      </c>
      <c r="I215">
        <v>298.43708408384799</v>
      </c>
      <c r="J215">
        <v>298.22386391073798</v>
      </c>
      <c r="K215">
        <v>298.65446210975</v>
      </c>
      <c r="L215">
        <v>298.080321718498</v>
      </c>
      <c r="M215">
        <v>294.98945886948502</v>
      </c>
      <c r="N215">
        <v>0.83900568181818103</v>
      </c>
      <c r="O215" s="1">
        <v>-5.3104131574339103E-8</v>
      </c>
      <c r="Q215">
        <v>299.14999999999998</v>
      </c>
      <c r="R215">
        <f t="shared" si="19"/>
        <v>30</v>
      </c>
      <c r="S215">
        <f t="shared" si="20"/>
        <v>25.295596529606996</v>
      </c>
      <c r="T215">
        <f t="shared" si="21"/>
        <v>25.287084083848015</v>
      </c>
      <c r="U215">
        <f t="shared" si="22"/>
        <v>25.073863910737998</v>
      </c>
      <c r="V215">
        <f t="shared" si="23"/>
        <v>25.504462109750023</v>
      </c>
      <c r="W215">
        <f t="shared" si="24"/>
        <v>24.930321718498021</v>
      </c>
      <c r="Y215">
        <v>53.25</v>
      </c>
    </row>
    <row r="216" spans="1:25" x14ac:dyDescent="0.25">
      <c r="A216">
        <v>0</v>
      </c>
      <c r="B216">
        <v>1.0116339164454401E-4</v>
      </c>
      <c r="C216" s="1">
        <v>9.6067203750931397E-5</v>
      </c>
      <c r="D216">
        <v>1.01163391644538E-4</v>
      </c>
      <c r="E216" s="1">
        <v>7.4718936250725004E-5</v>
      </c>
      <c r="F216">
        <v>0.1</v>
      </c>
      <c r="G216">
        <v>8.5298686935804499E-4</v>
      </c>
      <c r="H216">
        <v>298.45947501596902</v>
      </c>
      <c r="I216">
        <v>298.47223353818998</v>
      </c>
      <c r="J216">
        <v>298.245483432112</v>
      </c>
      <c r="K216">
        <v>298.65895141447902</v>
      </c>
      <c r="L216">
        <v>298.09424072937401</v>
      </c>
      <c r="M216">
        <v>295.21649816176398</v>
      </c>
      <c r="N216">
        <v>0.83568181818181797</v>
      </c>
      <c r="O216" s="1">
        <v>-5.0003990404404001E-8</v>
      </c>
      <c r="Q216">
        <v>299.14999999999998</v>
      </c>
      <c r="R216">
        <f t="shared" si="19"/>
        <v>30</v>
      </c>
      <c r="S216">
        <f t="shared" si="20"/>
        <v>25.309475015969042</v>
      </c>
      <c r="T216">
        <f t="shared" si="21"/>
        <v>25.322233538190005</v>
      </c>
      <c r="U216">
        <f t="shared" si="22"/>
        <v>25.095483432112019</v>
      </c>
      <c r="V216">
        <f t="shared" si="23"/>
        <v>25.508951414479043</v>
      </c>
      <c r="W216">
        <f t="shared" si="24"/>
        <v>24.94424072937403</v>
      </c>
      <c r="Y216">
        <v>53.5</v>
      </c>
    </row>
    <row r="217" spans="1:25" x14ac:dyDescent="0.25">
      <c r="A217">
        <v>0</v>
      </c>
      <c r="B217" s="1">
        <v>9.9296195907094603E-5</v>
      </c>
      <c r="C217" s="1">
        <v>9.4294069512979603E-5</v>
      </c>
      <c r="D217" s="1">
        <v>9.9296195907094196E-5</v>
      </c>
      <c r="E217" s="1">
        <v>7.3339831843431197E-5</v>
      </c>
      <c r="F217">
        <v>0.1</v>
      </c>
      <c r="G217">
        <v>8.3724313156524795E-4</v>
      </c>
      <c r="H217">
        <v>298.48060631557598</v>
      </c>
      <c r="I217">
        <v>298.51813739973801</v>
      </c>
      <c r="J217">
        <v>298.27268269072601</v>
      </c>
      <c r="K217">
        <v>298.65858389149798</v>
      </c>
      <c r="L217">
        <v>298.11075183899698</v>
      </c>
      <c r="M217">
        <v>295.53528837316099</v>
      </c>
      <c r="N217">
        <v>0.82951704545454497</v>
      </c>
      <c r="O217" s="1">
        <v>-4.8175159189953598E-8</v>
      </c>
      <c r="Q217">
        <v>299.14999999999998</v>
      </c>
      <c r="R217">
        <f t="shared" si="19"/>
        <v>30</v>
      </c>
      <c r="S217">
        <f t="shared" si="20"/>
        <v>25.330606315576006</v>
      </c>
      <c r="T217">
        <f t="shared" si="21"/>
        <v>25.368137399738032</v>
      </c>
      <c r="U217">
        <f t="shared" si="22"/>
        <v>25.122682690726037</v>
      </c>
      <c r="V217">
        <f t="shared" si="23"/>
        <v>25.508583891498006</v>
      </c>
      <c r="W217">
        <f t="shared" si="24"/>
        <v>24.960751838996998</v>
      </c>
      <c r="Y217">
        <v>53.75</v>
      </c>
    </row>
    <row r="218" spans="1:25" x14ac:dyDescent="0.25">
      <c r="A218">
        <v>0</v>
      </c>
      <c r="B218" s="1">
        <v>9.8976136807391095E-5</v>
      </c>
      <c r="C218" s="1">
        <v>9.3990133649978603E-5</v>
      </c>
      <c r="D218" s="1">
        <v>9.8976136807388398E-5</v>
      </c>
      <c r="E218" s="1">
        <v>7.3103437283317095E-5</v>
      </c>
      <c r="F218">
        <v>0.1</v>
      </c>
      <c r="G218">
        <v>8.3454452233849396E-4</v>
      </c>
      <c r="H218">
        <v>298.50517077576598</v>
      </c>
      <c r="I218">
        <v>298.57193497741798</v>
      </c>
      <c r="J218">
        <v>298.30193119751999</v>
      </c>
      <c r="K218">
        <v>298.66697290520699</v>
      </c>
      <c r="L218">
        <v>298.12928461192001</v>
      </c>
      <c r="M218">
        <v>295.95</v>
      </c>
      <c r="N218">
        <v>0.82</v>
      </c>
      <c r="O218" s="1">
        <v>-4.7865102514454597E-8</v>
      </c>
      <c r="Q218">
        <v>299.14999999999998</v>
      </c>
      <c r="R218">
        <f t="shared" si="19"/>
        <v>30</v>
      </c>
      <c r="S218">
        <f t="shared" si="20"/>
        <v>25.355170775765998</v>
      </c>
      <c r="T218">
        <f t="shared" si="21"/>
        <v>25.421934977418005</v>
      </c>
      <c r="U218">
        <f t="shared" si="22"/>
        <v>25.151931197520014</v>
      </c>
      <c r="V218">
        <f t="shared" si="23"/>
        <v>25.516972905207012</v>
      </c>
      <c r="W218">
        <f t="shared" si="24"/>
        <v>24.979284611920036</v>
      </c>
      <c r="Y218">
        <v>54</v>
      </c>
    </row>
    <row r="219" spans="1:25" x14ac:dyDescent="0.25">
      <c r="A219">
        <v>0</v>
      </c>
      <c r="B219" s="1">
        <v>9.9296175399435406E-5</v>
      </c>
      <c r="C219" s="1">
        <v>9.4294050038413397E-5</v>
      </c>
      <c r="D219" s="1">
        <v>9.9296175399435406E-5</v>
      </c>
      <c r="E219" s="1">
        <v>7.3339816696543804E-5</v>
      </c>
      <c r="F219">
        <v>0.1</v>
      </c>
      <c r="G219">
        <v>8.3724306943506598E-4</v>
      </c>
      <c r="H219">
        <v>298.53201110182999</v>
      </c>
      <c r="I219">
        <v>298.63955672116901</v>
      </c>
      <c r="J219">
        <v>298.33381514577701</v>
      </c>
      <c r="K219">
        <v>298.68409284639</v>
      </c>
      <c r="L219">
        <v>298.151538112553</v>
      </c>
      <c r="M219">
        <v>296.47314453125</v>
      </c>
      <c r="N219">
        <v>0.80579545454545398</v>
      </c>
      <c r="O219" s="1">
        <v>-4.8175152039984503E-8</v>
      </c>
      <c r="Q219">
        <v>299.14999999999998</v>
      </c>
      <c r="R219">
        <f t="shared" si="19"/>
        <v>30</v>
      </c>
      <c r="S219">
        <f t="shared" si="20"/>
        <v>25.382011101830017</v>
      </c>
      <c r="T219">
        <f t="shared" si="21"/>
        <v>25.489556721169038</v>
      </c>
      <c r="U219">
        <f t="shared" si="22"/>
        <v>25.183815145777032</v>
      </c>
      <c r="V219">
        <f t="shared" si="23"/>
        <v>25.534092846390024</v>
      </c>
      <c r="W219">
        <f t="shared" si="24"/>
        <v>25.001538112553021</v>
      </c>
      <c r="Y219">
        <v>54.25</v>
      </c>
    </row>
    <row r="220" spans="1:25" x14ac:dyDescent="0.25">
      <c r="A220">
        <v>0</v>
      </c>
      <c r="B220" s="1">
        <v>9.9966669481345806E-5</v>
      </c>
      <c r="C220" s="1">
        <v>9.49307674372034E-5</v>
      </c>
      <c r="D220" s="1">
        <v>9.9966669481345806E-5</v>
      </c>
      <c r="E220" s="1">
        <v>7.3835041340047095E-5</v>
      </c>
      <c r="F220">
        <v>0.1</v>
      </c>
      <c r="G220">
        <v>8.4289656660647104E-4</v>
      </c>
      <c r="H220">
        <v>298.56459971251502</v>
      </c>
      <c r="I220">
        <v>298.72510881574499</v>
      </c>
      <c r="J220">
        <v>298.36958315420702</v>
      </c>
      <c r="K220">
        <v>298.70947591561998</v>
      </c>
      <c r="L220">
        <v>298.17883805097102</v>
      </c>
      <c r="M220">
        <v>297.06432291666601</v>
      </c>
      <c r="N220">
        <v>0.78848484848484801</v>
      </c>
      <c r="O220" s="1">
        <v>-4.8827955620985497E-8</v>
      </c>
      <c r="Q220">
        <v>299.14999999999998</v>
      </c>
      <c r="R220">
        <f t="shared" si="19"/>
        <v>30</v>
      </c>
      <c r="S220">
        <f t="shared" si="20"/>
        <v>25.414599712515042</v>
      </c>
      <c r="T220">
        <f t="shared" si="21"/>
        <v>25.575108815745011</v>
      </c>
      <c r="U220">
        <f t="shared" si="22"/>
        <v>25.219583154207044</v>
      </c>
      <c r="V220">
        <f t="shared" si="23"/>
        <v>25.559475915619998</v>
      </c>
      <c r="W220">
        <f t="shared" si="24"/>
        <v>25.028838050971046</v>
      </c>
      <c r="Y220">
        <v>54.5</v>
      </c>
    </row>
    <row r="221" spans="1:25" x14ac:dyDescent="0.25">
      <c r="A221">
        <v>0</v>
      </c>
      <c r="B221">
        <v>1.00807081757615E-4</v>
      </c>
      <c r="C221" s="1">
        <v>9.5728843263514506E-5</v>
      </c>
      <c r="D221">
        <v>1.00807081757614E-4</v>
      </c>
      <c r="E221" s="1">
        <v>7.4455766982733405E-5</v>
      </c>
      <c r="F221">
        <v>0.1</v>
      </c>
      <c r="G221">
        <v>8.4998275891523002E-4</v>
      </c>
      <c r="H221">
        <v>298.60378607603297</v>
      </c>
      <c r="I221">
        <v>298.82129208455098</v>
      </c>
      <c r="J221">
        <v>298.40723627549301</v>
      </c>
      <c r="K221">
        <v>298.74118960498998</v>
      </c>
      <c r="L221">
        <v>298.21120824258003</v>
      </c>
      <c r="M221">
        <v>297.648339843749</v>
      </c>
      <c r="N221">
        <v>0.771931818181818</v>
      </c>
      <c r="O221" s="1">
        <v>-4.9652395340672903E-8</v>
      </c>
      <c r="Q221">
        <v>299.14999999999998</v>
      </c>
      <c r="R221">
        <f t="shared" si="19"/>
        <v>30</v>
      </c>
      <c r="S221">
        <f t="shared" si="20"/>
        <v>25.453786076032998</v>
      </c>
      <c r="T221">
        <f t="shared" si="21"/>
        <v>25.671292084550998</v>
      </c>
      <c r="U221">
        <f t="shared" si="22"/>
        <v>25.257236275493028</v>
      </c>
      <c r="V221">
        <f t="shared" si="23"/>
        <v>25.591189604990007</v>
      </c>
      <c r="W221">
        <f t="shared" si="24"/>
        <v>25.061208242580051</v>
      </c>
      <c r="Y221">
        <v>54.75</v>
      </c>
    </row>
    <row r="222" spans="1:25" x14ac:dyDescent="0.25">
      <c r="A222">
        <v>0</v>
      </c>
      <c r="B222">
        <v>1.0154023445789299E-4</v>
      </c>
      <c r="C222" s="1">
        <v>9.6425062801958606E-5</v>
      </c>
      <c r="D222">
        <v>1.0154023445789299E-4</v>
      </c>
      <c r="E222" s="1">
        <v>7.4997271068190003E-5</v>
      </c>
      <c r="F222">
        <v>0.1</v>
      </c>
      <c r="G222">
        <v>8.56164544039802E-4</v>
      </c>
      <c r="H222">
        <v>298.64607280340601</v>
      </c>
      <c r="I222">
        <v>298.92670102547999</v>
      </c>
      <c r="J222">
        <v>298.44619952096298</v>
      </c>
      <c r="K222">
        <v>298.77559819387398</v>
      </c>
      <c r="L222">
        <v>298.24661084955699</v>
      </c>
      <c r="M222">
        <v>298.14999999999998</v>
      </c>
      <c r="N222">
        <v>0.76</v>
      </c>
      <c r="O222" s="1">
        <v>-5.0377249108369003E-8</v>
      </c>
      <c r="Q222">
        <v>299.14999999999998</v>
      </c>
      <c r="R222">
        <f t="shared" si="19"/>
        <v>26</v>
      </c>
      <c r="S222">
        <f t="shared" si="20"/>
        <v>25.496072803406037</v>
      </c>
      <c r="T222">
        <f t="shared" si="21"/>
        <v>25.776701025480008</v>
      </c>
      <c r="U222">
        <f t="shared" si="22"/>
        <v>25.296199520963</v>
      </c>
      <c r="V222">
        <f t="shared" si="23"/>
        <v>25.625598193873998</v>
      </c>
      <c r="W222">
        <f t="shared" si="24"/>
        <v>25.09661084955701</v>
      </c>
      <c r="Y222">
        <v>55</v>
      </c>
    </row>
    <row r="223" spans="1:25" x14ac:dyDescent="0.25">
      <c r="A223">
        <v>0</v>
      </c>
      <c r="B223">
        <v>0.10683810201039801</v>
      </c>
      <c r="C223">
        <v>0.10739122452282999</v>
      </c>
      <c r="D223">
        <v>0.103685272867657</v>
      </c>
      <c r="E223">
        <v>9.4865291268261903E-2</v>
      </c>
      <c r="F223">
        <v>0.1</v>
      </c>
      <c r="G223">
        <v>1.1370183285565101</v>
      </c>
      <c r="H223">
        <v>298.27616793093102</v>
      </c>
      <c r="I223">
        <v>298.55623991687497</v>
      </c>
      <c r="J223">
        <v>298.04970918869401</v>
      </c>
      <c r="K223">
        <v>298.35039616157701</v>
      </c>
      <c r="L223">
        <v>297.77696086314802</v>
      </c>
      <c r="M223">
        <v>298.58320312499899</v>
      </c>
      <c r="N223">
        <v>0.75387499999999996</v>
      </c>
      <c r="O223">
        <v>9970.2329296430999</v>
      </c>
      <c r="Q223">
        <v>299.14999999999998</v>
      </c>
      <c r="R223">
        <f t="shared" si="19"/>
        <v>26</v>
      </c>
      <c r="S223">
        <f t="shared" si="20"/>
        <v>25.126167930931047</v>
      </c>
      <c r="T223">
        <f t="shared" si="21"/>
        <v>25.406239916874995</v>
      </c>
      <c r="U223">
        <f t="shared" si="22"/>
        <v>24.899709188694032</v>
      </c>
      <c r="V223">
        <f t="shared" si="23"/>
        <v>25.200396161577032</v>
      </c>
      <c r="W223">
        <f t="shared" si="24"/>
        <v>24.626960863148042</v>
      </c>
      <c r="Y223">
        <v>55.25</v>
      </c>
    </row>
    <row r="224" spans="1:25" x14ac:dyDescent="0.25">
      <c r="A224">
        <v>0</v>
      </c>
      <c r="B224">
        <v>8.9696767686793702E-2</v>
      </c>
      <c r="C224">
        <v>0.101362395562672</v>
      </c>
      <c r="D224">
        <v>8.7885201532122106E-2</v>
      </c>
      <c r="E224">
        <v>8.3120218584803396E-2</v>
      </c>
      <c r="F224">
        <v>0.1</v>
      </c>
      <c r="G224">
        <v>2.52625637941245</v>
      </c>
      <c r="H224">
        <v>297.90893577967603</v>
      </c>
      <c r="I224">
        <v>298.14838625175298</v>
      </c>
      <c r="J224">
        <v>297.708638202158</v>
      </c>
      <c r="K224">
        <v>297.88981823082497</v>
      </c>
      <c r="L224">
        <v>296.93909449181803</v>
      </c>
      <c r="M224">
        <v>299.011458333333</v>
      </c>
      <c r="N224">
        <v>0.75033333333333296</v>
      </c>
      <c r="O224">
        <v>15404.177290269399</v>
      </c>
      <c r="Q224">
        <v>299.14999999999998</v>
      </c>
      <c r="R224">
        <f t="shared" si="19"/>
        <v>26</v>
      </c>
      <c r="S224">
        <f t="shared" si="20"/>
        <v>24.758935779676051</v>
      </c>
      <c r="T224">
        <f t="shared" si="21"/>
        <v>24.998386251753004</v>
      </c>
      <c r="U224">
        <f t="shared" si="22"/>
        <v>24.558638202158022</v>
      </c>
      <c r="V224">
        <f t="shared" si="23"/>
        <v>24.739818230824994</v>
      </c>
      <c r="W224">
        <f t="shared" si="24"/>
        <v>23.789094491818048</v>
      </c>
      <c r="Y224">
        <v>55.5</v>
      </c>
    </row>
    <row r="225" spans="1:25" x14ac:dyDescent="0.25">
      <c r="A225">
        <v>0</v>
      </c>
      <c r="B225">
        <v>9.0036241357122002E-2</v>
      </c>
      <c r="C225">
        <v>0.10336762603237599</v>
      </c>
      <c r="D225">
        <v>8.9285809480011302E-2</v>
      </c>
      <c r="E225">
        <v>8.1285292439487497E-2</v>
      </c>
      <c r="F225">
        <v>0.1</v>
      </c>
      <c r="G225">
        <v>3.7802998202524298</v>
      </c>
      <c r="H225">
        <v>297.52813257776597</v>
      </c>
      <c r="I225">
        <v>297.765380838162</v>
      </c>
      <c r="J225">
        <v>297.33345440208899</v>
      </c>
      <c r="K225">
        <v>297.45309607281098</v>
      </c>
      <c r="L225">
        <v>296.27713864435401</v>
      </c>
      <c r="M225">
        <v>299.433984374999</v>
      </c>
      <c r="N225">
        <v>0.74662499999999998</v>
      </c>
      <c r="O225">
        <v>23379.187238141902</v>
      </c>
      <c r="Q225">
        <v>299.14999999999998</v>
      </c>
      <c r="R225">
        <f t="shared" si="19"/>
        <v>26</v>
      </c>
      <c r="S225">
        <f t="shared" si="20"/>
        <v>24.378132577765996</v>
      </c>
      <c r="T225">
        <f t="shared" si="21"/>
        <v>24.615380838162025</v>
      </c>
      <c r="U225">
        <f t="shared" si="22"/>
        <v>24.183454402089012</v>
      </c>
      <c r="V225">
        <f t="shared" si="23"/>
        <v>24.303096072811002</v>
      </c>
      <c r="W225">
        <f t="shared" si="24"/>
        <v>23.127138644354034</v>
      </c>
      <c r="Y225">
        <v>55.75</v>
      </c>
    </row>
    <row r="226" spans="1:25" x14ac:dyDescent="0.25">
      <c r="A226">
        <v>0</v>
      </c>
      <c r="B226">
        <v>0.107784907731956</v>
      </c>
      <c r="C226">
        <v>0.118606884826848</v>
      </c>
      <c r="D226">
        <v>0.105820318278272</v>
      </c>
      <c r="E226">
        <v>9.3948473586610806E-2</v>
      </c>
      <c r="F226">
        <v>0.1</v>
      </c>
      <c r="G226">
        <v>4.1943718062875197</v>
      </c>
      <c r="H226">
        <v>297.33207408773399</v>
      </c>
      <c r="I226">
        <v>297.59197412676099</v>
      </c>
      <c r="J226">
        <v>297.13842903211702</v>
      </c>
      <c r="K226">
        <v>297.23296178427398</v>
      </c>
      <c r="L226">
        <v>296.01459871053203</v>
      </c>
      <c r="M226">
        <v>299.849999999999</v>
      </c>
      <c r="N226">
        <v>0.74</v>
      </c>
      <c r="O226">
        <v>26877.540008734399</v>
      </c>
      <c r="Q226">
        <v>299.14999999999998</v>
      </c>
      <c r="R226">
        <f t="shared" si="19"/>
        <v>26</v>
      </c>
      <c r="S226">
        <f t="shared" si="20"/>
        <v>24.182074087734009</v>
      </c>
      <c r="T226">
        <f t="shared" si="21"/>
        <v>24.441974126761011</v>
      </c>
      <c r="U226">
        <f t="shared" si="22"/>
        <v>23.98842903211704</v>
      </c>
      <c r="V226">
        <f t="shared" si="23"/>
        <v>24.082961784274005</v>
      </c>
      <c r="W226">
        <f t="shared" si="24"/>
        <v>22.86459871053205</v>
      </c>
      <c r="Y226">
        <v>56</v>
      </c>
    </row>
    <row r="227" spans="1:25" x14ac:dyDescent="0.25">
      <c r="A227">
        <v>0</v>
      </c>
      <c r="B227">
        <v>0.107998934431681</v>
      </c>
      <c r="C227">
        <v>0.119011983247077</v>
      </c>
      <c r="D227">
        <v>0.107983876015253</v>
      </c>
      <c r="E227">
        <v>9.3990921775011296E-2</v>
      </c>
      <c r="F227">
        <v>0.1</v>
      </c>
      <c r="G227">
        <v>4.3582382968809599</v>
      </c>
      <c r="H227">
        <v>297.35891387252099</v>
      </c>
      <c r="I227">
        <v>297.627145578409</v>
      </c>
      <c r="J227">
        <v>297.161379504254</v>
      </c>
      <c r="K227">
        <v>297.23404806671402</v>
      </c>
      <c r="L227">
        <v>295.99138997128301</v>
      </c>
      <c r="M227">
        <v>300.26874999999899</v>
      </c>
      <c r="N227">
        <v>0.73024999999999995</v>
      </c>
      <c r="O227">
        <v>28730.947866582501</v>
      </c>
      <c r="Q227">
        <v>299.14999999999998</v>
      </c>
      <c r="R227">
        <f t="shared" si="19"/>
        <v>26</v>
      </c>
      <c r="S227">
        <f t="shared" si="20"/>
        <v>24.208913872521009</v>
      </c>
      <c r="T227">
        <f t="shared" si="21"/>
        <v>24.477145578409022</v>
      </c>
      <c r="U227">
        <f t="shared" si="22"/>
        <v>24.011379504254023</v>
      </c>
      <c r="V227">
        <f t="shared" si="23"/>
        <v>24.084048066714047</v>
      </c>
      <c r="W227">
        <f t="shared" si="24"/>
        <v>22.841389971283036</v>
      </c>
      <c r="Y227">
        <v>56.25</v>
      </c>
    </row>
    <row r="228" spans="1:25" x14ac:dyDescent="0.25">
      <c r="A228">
        <v>0</v>
      </c>
      <c r="B228">
        <v>0.11435908745791901</v>
      </c>
      <c r="C228">
        <v>0.11213696028958201</v>
      </c>
      <c r="D228">
        <v>0.114630482020848</v>
      </c>
      <c r="E228">
        <v>9.78161223791017E-2</v>
      </c>
      <c r="F228">
        <v>0.1</v>
      </c>
      <c r="G228">
        <v>4.4973877331963097</v>
      </c>
      <c r="H228">
        <v>297.44467328755599</v>
      </c>
      <c r="I228">
        <v>297.72622572908699</v>
      </c>
      <c r="J228">
        <v>297.24234658491201</v>
      </c>
      <c r="K228">
        <v>297.29263006191701</v>
      </c>
      <c r="L228">
        <v>296.03242424595601</v>
      </c>
      <c r="M228">
        <v>300.6875</v>
      </c>
      <c r="N228">
        <v>0.71966666666666601</v>
      </c>
      <c r="O228">
        <v>30551.314192810001</v>
      </c>
      <c r="Q228">
        <v>299.14999999999998</v>
      </c>
      <c r="R228">
        <f t="shared" si="19"/>
        <v>26</v>
      </c>
      <c r="S228">
        <f t="shared" si="20"/>
        <v>24.294673287556009</v>
      </c>
      <c r="T228">
        <f t="shared" si="21"/>
        <v>24.576225729087014</v>
      </c>
      <c r="U228">
        <f t="shared" si="22"/>
        <v>24.092346584912036</v>
      </c>
      <c r="V228">
        <f t="shared" si="23"/>
        <v>24.142630061917032</v>
      </c>
      <c r="W228">
        <f t="shared" si="24"/>
        <v>22.882424245956031</v>
      </c>
      <c r="Y228">
        <v>56.5</v>
      </c>
    </row>
    <row r="229" spans="1:25" x14ac:dyDescent="0.25">
      <c r="A229">
        <v>0</v>
      </c>
      <c r="B229">
        <v>0.11991640909719201</v>
      </c>
      <c r="C229">
        <v>0.11618147135550699</v>
      </c>
      <c r="D229">
        <v>0.12023846905773</v>
      </c>
      <c r="E229">
        <v>0.10228798053049</v>
      </c>
      <c r="F229">
        <v>0.1</v>
      </c>
      <c r="G229">
        <v>4.5303732556549701</v>
      </c>
      <c r="H229">
        <v>297.55713757605901</v>
      </c>
      <c r="I229">
        <v>297.83683608635499</v>
      </c>
      <c r="J229">
        <v>297.34699028152301</v>
      </c>
      <c r="K229">
        <v>297.37618487095</v>
      </c>
      <c r="L229">
        <v>296.11067656718001</v>
      </c>
      <c r="M229">
        <v>301.08749999999998</v>
      </c>
      <c r="N229">
        <v>0.70924999999999905</v>
      </c>
      <c r="O229">
        <v>31317.6931956728</v>
      </c>
      <c r="Q229">
        <v>299.14999999999998</v>
      </c>
      <c r="R229">
        <f t="shared" si="19"/>
        <v>26</v>
      </c>
      <c r="S229">
        <f t="shared" si="20"/>
        <v>24.407137576059029</v>
      </c>
      <c r="T229">
        <f t="shared" si="21"/>
        <v>24.686836086355015</v>
      </c>
      <c r="U229">
        <f t="shared" si="22"/>
        <v>24.196990281523028</v>
      </c>
      <c r="V229">
        <f t="shared" si="23"/>
        <v>24.226184870950021</v>
      </c>
      <c r="W229">
        <f t="shared" si="24"/>
        <v>22.96067656718003</v>
      </c>
      <c r="Y229">
        <v>56.75</v>
      </c>
    </row>
    <row r="230" spans="1:25" x14ac:dyDescent="0.25">
      <c r="A230">
        <v>0</v>
      </c>
      <c r="B230">
        <v>0.12034985146907901</v>
      </c>
      <c r="C230">
        <v>0.116988527695347</v>
      </c>
      <c r="D230">
        <v>0.12032650052284601</v>
      </c>
      <c r="E230">
        <v>0.102744509328728</v>
      </c>
      <c r="F230">
        <v>0.1</v>
      </c>
      <c r="G230">
        <v>4.5369974967643598</v>
      </c>
      <c r="H230">
        <v>297.71490801254998</v>
      </c>
      <c r="I230">
        <v>297.99233959664002</v>
      </c>
      <c r="J230">
        <v>297.49211054745598</v>
      </c>
      <c r="K230">
        <v>297.49989645565398</v>
      </c>
      <c r="L230">
        <v>296.22595306541803</v>
      </c>
      <c r="M230">
        <v>301.45</v>
      </c>
      <c r="N230">
        <v>0.7</v>
      </c>
      <c r="O230">
        <v>31817.073251833099</v>
      </c>
      <c r="Q230">
        <v>299.14999999999998</v>
      </c>
      <c r="R230">
        <f t="shared" si="19"/>
        <v>26</v>
      </c>
      <c r="S230">
        <f t="shared" si="20"/>
        <v>24.564908012550006</v>
      </c>
      <c r="T230">
        <f t="shared" si="21"/>
        <v>24.842339596640045</v>
      </c>
      <c r="U230">
        <f t="shared" si="22"/>
        <v>24.342110547456002</v>
      </c>
      <c r="V230">
        <f t="shared" si="23"/>
        <v>24.349896455654005</v>
      </c>
      <c r="W230">
        <f t="shared" si="24"/>
        <v>23.075953065418048</v>
      </c>
      <c r="Y230">
        <v>57</v>
      </c>
    </row>
    <row r="231" spans="1:25" x14ac:dyDescent="0.25">
      <c r="A231">
        <v>0</v>
      </c>
      <c r="B231">
        <v>0.11924844702561301</v>
      </c>
      <c r="C231">
        <v>0.11600182199020501</v>
      </c>
      <c r="D231">
        <v>0.119288454037993</v>
      </c>
      <c r="E231">
        <v>0.10185354218320999</v>
      </c>
      <c r="F231">
        <v>0.1</v>
      </c>
      <c r="G231">
        <v>4.5609664364217801</v>
      </c>
      <c r="H231">
        <v>297.81071995399702</v>
      </c>
      <c r="I231">
        <v>298.084816053049</v>
      </c>
      <c r="J231">
        <v>297.57024240993798</v>
      </c>
      <c r="K231">
        <v>297.564476373427</v>
      </c>
      <c r="L231">
        <v>296.282930275029</v>
      </c>
      <c r="M231">
        <v>301.75877757352902</v>
      </c>
      <c r="N231">
        <v>0.69218749999999996</v>
      </c>
      <c r="O231">
        <v>32135.668107930102</v>
      </c>
      <c r="Q231">
        <v>299.14999999999998</v>
      </c>
      <c r="R231">
        <f t="shared" si="19"/>
        <v>26</v>
      </c>
      <c r="S231">
        <f t="shared" si="20"/>
        <v>24.660719953997045</v>
      </c>
      <c r="T231">
        <f t="shared" si="21"/>
        <v>24.934816053049019</v>
      </c>
      <c r="U231">
        <f t="shared" si="22"/>
        <v>24.420242409937998</v>
      </c>
      <c r="V231">
        <f t="shared" si="23"/>
        <v>24.414476373427021</v>
      </c>
      <c r="W231">
        <f t="shared" si="24"/>
        <v>23.132930275029025</v>
      </c>
      <c r="Y231">
        <v>57.25</v>
      </c>
    </row>
    <row r="232" spans="1:25" x14ac:dyDescent="0.25">
      <c r="A232">
        <v>0</v>
      </c>
      <c r="B232">
        <v>0.117126520572977</v>
      </c>
      <c r="C232">
        <v>0.113791110628437</v>
      </c>
      <c r="D232">
        <v>0.11749524619344</v>
      </c>
      <c r="E232">
        <v>0.100323871659849</v>
      </c>
      <c r="F232">
        <v>0.1</v>
      </c>
      <c r="G232">
        <v>4.5254746601175802</v>
      </c>
      <c r="H232">
        <v>297.873177203203</v>
      </c>
      <c r="I232">
        <v>298.13842485395998</v>
      </c>
      <c r="J232">
        <v>297.61115181205798</v>
      </c>
      <c r="K232">
        <v>297.596113533172</v>
      </c>
      <c r="L232">
        <v>296.31226707561802</v>
      </c>
      <c r="M232">
        <v>302.02757352941097</v>
      </c>
      <c r="N232">
        <v>0.68500000000000005</v>
      </c>
      <c r="O232">
        <v>31466.0797089968</v>
      </c>
      <c r="Q232">
        <v>299.14999999999998</v>
      </c>
      <c r="R232">
        <f t="shared" si="19"/>
        <v>26</v>
      </c>
      <c r="S232">
        <f t="shared" si="20"/>
        <v>24.723177203203022</v>
      </c>
      <c r="T232">
        <f t="shared" si="21"/>
        <v>24.988424853959998</v>
      </c>
      <c r="U232">
        <f t="shared" si="22"/>
        <v>24.461151812058006</v>
      </c>
      <c r="V232">
        <f t="shared" si="23"/>
        <v>24.446113533172024</v>
      </c>
      <c r="W232">
        <f t="shared" si="24"/>
        <v>23.162267075618047</v>
      </c>
      <c r="Y232">
        <v>57.5</v>
      </c>
    </row>
    <row r="233" spans="1:25" x14ac:dyDescent="0.25">
      <c r="A233">
        <v>0</v>
      </c>
      <c r="B233">
        <v>0.113151186723189</v>
      </c>
      <c r="C233">
        <v>0.1100336609862</v>
      </c>
      <c r="D233">
        <v>0.114063883760625</v>
      </c>
      <c r="E233">
        <v>9.7266863257063296E-2</v>
      </c>
      <c r="F233">
        <v>0.1</v>
      </c>
      <c r="G233">
        <v>4.5217403019636802</v>
      </c>
      <c r="H233">
        <v>297.92666327257899</v>
      </c>
      <c r="I233">
        <v>298.17073225265801</v>
      </c>
      <c r="J233">
        <v>297.64154746684602</v>
      </c>
      <c r="K233">
        <v>297.61580629739598</v>
      </c>
      <c r="L233">
        <v>296.31867535267099</v>
      </c>
      <c r="M233">
        <v>302.28258272058798</v>
      </c>
      <c r="N233">
        <v>0.67781250000000004</v>
      </c>
      <c r="O233">
        <v>31169.432942679101</v>
      </c>
      <c r="Q233">
        <v>299.14999999999998</v>
      </c>
      <c r="R233">
        <f t="shared" si="19"/>
        <v>26</v>
      </c>
      <c r="S233">
        <f t="shared" si="20"/>
        <v>24.776663272579015</v>
      </c>
      <c r="T233">
        <f t="shared" si="21"/>
        <v>25.020732252658036</v>
      </c>
      <c r="U233">
        <f t="shared" si="22"/>
        <v>24.491547466846043</v>
      </c>
      <c r="V233">
        <f t="shared" si="23"/>
        <v>24.465806297396</v>
      </c>
      <c r="W233">
        <f t="shared" si="24"/>
        <v>23.168675352671016</v>
      </c>
      <c r="Y233">
        <v>57.75</v>
      </c>
    </row>
    <row r="234" spans="1:25" x14ac:dyDescent="0.25">
      <c r="A234">
        <v>0</v>
      </c>
      <c r="B234">
        <v>0.109947032914386</v>
      </c>
      <c r="C234">
        <v>0.10722736722668</v>
      </c>
      <c r="D234">
        <v>0.11126916469463</v>
      </c>
      <c r="E234">
        <v>9.4853016581612895E-2</v>
      </c>
      <c r="F234">
        <v>0.1</v>
      </c>
      <c r="G234">
        <v>4.5188620768584897</v>
      </c>
      <c r="H234">
        <v>297.99126705252098</v>
      </c>
      <c r="I234">
        <v>298.20623506836603</v>
      </c>
      <c r="J234">
        <v>297.68115549443201</v>
      </c>
      <c r="K234">
        <v>297.64604634436103</v>
      </c>
      <c r="L234">
        <v>296.33901869596599</v>
      </c>
      <c r="M234">
        <v>302.54999999999899</v>
      </c>
      <c r="N234">
        <v>0.67</v>
      </c>
      <c r="O234">
        <v>30828.867371385499</v>
      </c>
      <c r="Q234">
        <v>299.14999999999998</v>
      </c>
      <c r="R234">
        <f t="shared" si="19"/>
        <v>26</v>
      </c>
      <c r="S234">
        <f t="shared" si="20"/>
        <v>24.841267052521005</v>
      </c>
      <c r="T234">
        <f t="shared" si="21"/>
        <v>25.05623506836605</v>
      </c>
      <c r="U234">
        <f t="shared" si="22"/>
        <v>24.531155494432028</v>
      </c>
      <c r="V234">
        <f t="shared" si="23"/>
        <v>24.496046344361048</v>
      </c>
      <c r="W234">
        <f t="shared" si="24"/>
        <v>23.189018695966013</v>
      </c>
      <c r="Y234">
        <v>58</v>
      </c>
    </row>
    <row r="235" spans="1:25" x14ac:dyDescent="0.25">
      <c r="A235">
        <v>0</v>
      </c>
      <c r="B235">
        <v>0.109116227874933</v>
      </c>
      <c r="C235">
        <v>0.10635684666110901</v>
      </c>
      <c r="D235">
        <v>0.110795248264296</v>
      </c>
      <c r="E235">
        <v>9.4475639456287799E-2</v>
      </c>
      <c r="F235">
        <v>0.1</v>
      </c>
      <c r="G235">
        <v>4.5104995291855099</v>
      </c>
      <c r="H235">
        <v>298.05100407859697</v>
      </c>
      <c r="I235">
        <v>298.228601851093</v>
      </c>
      <c r="J235">
        <v>297.714350878988</v>
      </c>
      <c r="K235">
        <v>297.66943032012699</v>
      </c>
      <c r="L235">
        <v>296.35309447431899</v>
      </c>
      <c r="M235">
        <v>302.89632352941101</v>
      </c>
      <c r="N235">
        <v>0.66062500000000002</v>
      </c>
      <c r="O235">
        <v>30635.418267012799</v>
      </c>
      <c r="Q235">
        <v>299.14999999999998</v>
      </c>
      <c r="R235">
        <f t="shared" si="19"/>
        <v>26</v>
      </c>
      <c r="S235">
        <f t="shared" si="20"/>
        <v>24.901004078596998</v>
      </c>
      <c r="T235">
        <f t="shared" si="21"/>
        <v>25.078601851093026</v>
      </c>
      <c r="U235">
        <f t="shared" si="22"/>
        <v>24.564350878988023</v>
      </c>
      <c r="V235">
        <f t="shared" si="23"/>
        <v>24.519430320127015</v>
      </c>
      <c r="W235">
        <f t="shared" si="24"/>
        <v>23.203094474319016</v>
      </c>
      <c r="Y235">
        <v>58.25</v>
      </c>
    </row>
    <row r="236" spans="1:25" x14ac:dyDescent="0.25">
      <c r="A236">
        <v>0</v>
      </c>
      <c r="B236">
        <v>0.11414573344784799</v>
      </c>
      <c r="C236">
        <v>0.110466694314498</v>
      </c>
      <c r="D236">
        <v>0.11594993542052</v>
      </c>
      <c r="E236">
        <v>9.8741052970288498E-2</v>
      </c>
      <c r="F236">
        <v>0.1</v>
      </c>
      <c r="G236">
        <v>4.5355611105575697</v>
      </c>
      <c r="H236">
        <v>298.10408851173702</v>
      </c>
      <c r="I236">
        <v>298.237992089714</v>
      </c>
      <c r="J236">
        <v>297.74029506788003</v>
      </c>
      <c r="K236">
        <v>297.68622289794803</v>
      </c>
      <c r="L236">
        <v>296.36587354011101</v>
      </c>
      <c r="M236">
        <v>303.29117647058803</v>
      </c>
      <c r="N236">
        <v>0.65</v>
      </c>
      <c r="O236">
        <v>30794.665505498298</v>
      </c>
      <c r="Q236">
        <v>299.14999999999998</v>
      </c>
      <c r="R236">
        <f t="shared" si="19"/>
        <v>26</v>
      </c>
      <c r="S236">
        <f t="shared" si="20"/>
        <v>24.954088511737041</v>
      </c>
      <c r="T236">
        <f t="shared" si="21"/>
        <v>25.087992089714021</v>
      </c>
      <c r="U236">
        <f t="shared" si="22"/>
        <v>24.590295067880049</v>
      </c>
      <c r="V236">
        <f t="shared" si="23"/>
        <v>24.536222897948051</v>
      </c>
      <c r="W236">
        <f t="shared" si="24"/>
        <v>23.215873540111033</v>
      </c>
      <c r="Y236">
        <v>58.5</v>
      </c>
    </row>
    <row r="237" spans="1:25" x14ac:dyDescent="0.25">
      <c r="A237">
        <v>0</v>
      </c>
      <c r="B237">
        <v>0.112673646065636</v>
      </c>
      <c r="C237">
        <v>0.10902587358155599</v>
      </c>
      <c r="D237">
        <v>0.114722106836487</v>
      </c>
      <c r="E237">
        <v>9.7699858549594995E-2</v>
      </c>
      <c r="F237">
        <v>0.1</v>
      </c>
      <c r="G237">
        <v>4.5435943400680303</v>
      </c>
      <c r="H237">
        <v>298.16307323112397</v>
      </c>
      <c r="I237">
        <v>298.24747478062699</v>
      </c>
      <c r="J237">
        <v>297.77315189025097</v>
      </c>
      <c r="K237">
        <v>297.709761495333</v>
      </c>
      <c r="L237">
        <v>296.37791355602297</v>
      </c>
      <c r="M237">
        <v>303.61544117646997</v>
      </c>
      <c r="N237">
        <v>0.63937500000000003</v>
      </c>
      <c r="O237">
        <v>30733.148167072301</v>
      </c>
      <c r="Q237">
        <v>299.14999999999998</v>
      </c>
      <c r="R237">
        <f t="shared" si="19"/>
        <v>26</v>
      </c>
      <c r="S237">
        <f t="shared" si="20"/>
        <v>25.013073231123997</v>
      </c>
      <c r="T237">
        <f t="shared" si="21"/>
        <v>25.09747478062701</v>
      </c>
      <c r="U237">
        <f t="shared" si="22"/>
        <v>24.623151890250995</v>
      </c>
      <c r="V237">
        <f t="shared" si="23"/>
        <v>24.559761495333021</v>
      </c>
      <c r="W237">
        <f t="shared" si="24"/>
        <v>23.227913556022997</v>
      </c>
      <c r="Y237">
        <v>58.75</v>
      </c>
    </row>
    <row r="238" spans="1:25" x14ac:dyDescent="0.25">
      <c r="A238">
        <v>0</v>
      </c>
      <c r="B238">
        <v>0.111826463310709</v>
      </c>
      <c r="C238">
        <v>0.10848493306325099</v>
      </c>
      <c r="D238">
        <v>0.114270110262486</v>
      </c>
      <c r="E238">
        <v>9.7281924633726494E-2</v>
      </c>
      <c r="F238">
        <v>0.1</v>
      </c>
      <c r="G238">
        <v>4.5109957415032804</v>
      </c>
      <c r="H238">
        <v>298.22433059614798</v>
      </c>
      <c r="I238">
        <v>298.25684895916999</v>
      </c>
      <c r="J238">
        <v>297.80888953770602</v>
      </c>
      <c r="K238">
        <v>297.73808683347897</v>
      </c>
      <c r="L238">
        <v>296.403613762416</v>
      </c>
      <c r="M238">
        <v>303.75</v>
      </c>
      <c r="N238">
        <v>0.63</v>
      </c>
      <c r="O238">
        <v>30098.797216859599</v>
      </c>
      <c r="Q238">
        <v>299.14999999999998</v>
      </c>
      <c r="R238">
        <f t="shared" si="19"/>
        <v>26</v>
      </c>
      <c r="S238">
        <f t="shared" si="20"/>
        <v>25.074330596148002</v>
      </c>
      <c r="T238">
        <f t="shared" si="21"/>
        <v>25.106848959170009</v>
      </c>
      <c r="U238">
        <f t="shared" si="22"/>
        <v>24.658889537706045</v>
      </c>
      <c r="V238">
        <f t="shared" si="23"/>
        <v>24.588086833478997</v>
      </c>
      <c r="W238">
        <f t="shared" si="24"/>
        <v>23.253613762416023</v>
      </c>
      <c r="Y238">
        <v>59</v>
      </c>
    </row>
    <row r="239" spans="1:25" x14ac:dyDescent="0.25">
      <c r="A239">
        <v>0</v>
      </c>
      <c r="B239">
        <v>0.11087956701339401</v>
      </c>
      <c r="C239">
        <v>0.108491909838674</v>
      </c>
      <c r="D239">
        <v>0.113493026437519</v>
      </c>
      <c r="E239">
        <v>9.6602024653569901E-2</v>
      </c>
      <c r="F239">
        <v>0.1</v>
      </c>
      <c r="G239">
        <v>4.5189677607528296</v>
      </c>
      <c r="H239">
        <v>298.26271111567797</v>
      </c>
      <c r="I239">
        <v>298.238492790968</v>
      </c>
      <c r="J239">
        <v>297.82347203134202</v>
      </c>
      <c r="K239">
        <v>297.743729808372</v>
      </c>
      <c r="L239">
        <v>296.39886119795398</v>
      </c>
      <c r="M239">
        <v>303.75</v>
      </c>
      <c r="N239">
        <v>0.62265625000000002</v>
      </c>
      <c r="O239">
        <v>29697.264898269401</v>
      </c>
      <c r="Q239">
        <v>299.14999999999998</v>
      </c>
      <c r="R239">
        <f t="shared" si="19"/>
        <v>26</v>
      </c>
      <c r="S239">
        <f t="shared" si="20"/>
        <v>25.112711115677996</v>
      </c>
      <c r="T239">
        <f t="shared" si="21"/>
        <v>25.088492790968019</v>
      </c>
      <c r="U239">
        <f t="shared" si="22"/>
        <v>24.673472031342044</v>
      </c>
      <c r="V239">
        <f t="shared" si="23"/>
        <v>24.593729808372018</v>
      </c>
      <c r="W239">
        <f t="shared" si="24"/>
        <v>23.248861197954</v>
      </c>
      <c r="Y239">
        <v>59.25</v>
      </c>
    </row>
    <row r="240" spans="1:25" x14ac:dyDescent="0.25">
      <c r="A240">
        <v>0</v>
      </c>
      <c r="B240">
        <v>0.110715669661321</v>
      </c>
      <c r="C240">
        <v>0.110164482130618</v>
      </c>
      <c r="D240">
        <v>0.11125484695191901</v>
      </c>
      <c r="E240">
        <v>9.4934710150389401E-2</v>
      </c>
      <c r="F240">
        <v>0.1</v>
      </c>
      <c r="G240">
        <v>4.52230283408527</v>
      </c>
      <c r="H240">
        <v>298.30930339149501</v>
      </c>
      <c r="I240">
        <v>298.22721278522903</v>
      </c>
      <c r="J240">
        <v>297.85011196495202</v>
      </c>
      <c r="K240">
        <v>297.76262793915402</v>
      </c>
      <c r="L240">
        <v>296.41080209819</v>
      </c>
      <c r="M240">
        <v>303.75</v>
      </c>
      <c r="N240">
        <v>0.61708333333333298</v>
      </c>
      <c r="O240">
        <v>29519.678815143699</v>
      </c>
      <c r="Q240">
        <v>299.14999999999998</v>
      </c>
      <c r="R240">
        <f t="shared" si="19"/>
        <v>26</v>
      </c>
      <c r="S240">
        <f t="shared" si="20"/>
        <v>25.15930339149503</v>
      </c>
      <c r="T240">
        <f t="shared" si="21"/>
        <v>25.077212785229051</v>
      </c>
      <c r="U240">
        <f t="shared" si="22"/>
        <v>24.700111964952043</v>
      </c>
      <c r="V240">
        <f t="shared" si="23"/>
        <v>24.612627939154038</v>
      </c>
      <c r="W240">
        <f t="shared" si="24"/>
        <v>23.260802098190027</v>
      </c>
      <c r="Y240">
        <v>59.5</v>
      </c>
    </row>
    <row r="241" spans="1:25" x14ac:dyDescent="0.25">
      <c r="A241">
        <v>0</v>
      </c>
      <c r="B241">
        <v>0.11283787109147</v>
      </c>
      <c r="C241">
        <v>0.11287970273079</v>
      </c>
      <c r="D241">
        <v>0.110599967476973</v>
      </c>
      <c r="E241">
        <v>9.4520820842738704E-2</v>
      </c>
      <c r="F241">
        <v>0.1</v>
      </c>
      <c r="G241">
        <v>4.5189212187156098</v>
      </c>
      <c r="H241">
        <v>298.34674498691601</v>
      </c>
      <c r="I241">
        <v>298.20734532807103</v>
      </c>
      <c r="J241">
        <v>297.86909860832299</v>
      </c>
      <c r="K241">
        <v>297.77353447564798</v>
      </c>
      <c r="L241">
        <v>296.41514339967301</v>
      </c>
      <c r="M241">
        <v>303.75</v>
      </c>
      <c r="N241">
        <v>0.61296874999999995</v>
      </c>
      <c r="O241">
        <v>29435.419475829702</v>
      </c>
      <c r="Q241">
        <v>299.14999999999998</v>
      </c>
      <c r="R241">
        <f t="shared" si="19"/>
        <v>26</v>
      </c>
      <c r="S241">
        <f t="shared" si="20"/>
        <v>25.19674498691603</v>
      </c>
      <c r="T241">
        <f t="shared" si="21"/>
        <v>25.057345328071051</v>
      </c>
      <c r="U241">
        <f t="shared" si="22"/>
        <v>24.719098608323009</v>
      </c>
      <c r="V241">
        <f t="shared" si="23"/>
        <v>24.623534475648</v>
      </c>
      <c r="W241">
        <f t="shared" si="24"/>
        <v>23.265143399673036</v>
      </c>
      <c r="Y241">
        <v>59.75</v>
      </c>
    </row>
    <row r="242" spans="1:25" x14ac:dyDescent="0.25">
      <c r="A242">
        <v>0</v>
      </c>
      <c r="B242">
        <v>0.115411013102084</v>
      </c>
      <c r="C242">
        <v>0.114030578226923</v>
      </c>
      <c r="D242">
        <v>0.110061825192936</v>
      </c>
      <c r="E242">
        <v>9.4292086463368605E-2</v>
      </c>
      <c r="F242">
        <v>0.1</v>
      </c>
      <c r="G242">
        <v>4.5280080208394704</v>
      </c>
      <c r="H242">
        <v>298.38748142346299</v>
      </c>
      <c r="I242">
        <v>298.19582077832303</v>
      </c>
      <c r="J242">
        <v>297.891144578335</v>
      </c>
      <c r="K242">
        <v>297.78810536103202</v>
      </c>
      <c r="L242">
        <v>296.42420701147</v>
      </c>
      <c r="M242">
        <v>303.75</v>
      </c>
      <c r="N242">
        <v>0.61</v>
      </c>
      <c r="O242">
        <v>29389.918099805702</v>
      </c>
      <c r="Q242">
        <v>299.14999999999998</v>
      </c>
      <c r="R242">
        <f t="shared" si="19"/>
        <v>26</v>
      </c>
      <c r="S242">
        <f t="shared" si="20"/>
        <v>25.237481423463009</v>
      </c>
      <c r="T242">
        <f t="shared" si="21"/>
        <v>25.045820778323048</v>
      </c>
      <c r="U242">
        <f t="shared" si="22"/>
        <v>24.741144578335025</v>
      </c>
      <c r="V242">
        <f t="shared" si="23"/>
        <v>24.638105361032046</v>
      </c>
      <c r="W242">
        <f t="shared" si="24"/>
        <v>23.274207011470025</v>
      </c>
      <c r="Y242">
        <v>60</v>
      </c>
    </row>
    <row r="243" spans="1:25" x14ac:dyDescent="0.25">
      <c r="A243">
        <v>0</v>
      </c>
      <c r="B243">
        <v>0.122171127101267</v>
      </c>
      <c r="C243">
        <v>0.117000875887198</v>
      </c>
      <c r="D243">
        <v>0.115782378961215</v>
      </c>
      <c r="E243">
        <v>9.8969356886159501E-2</v>
      </c>
      <c r="F243">
        <v>0.1</v>
      </c>
      <c r="G243">
        <v>4.5159430475870401</v>
      </c>
      <c r="H243">
        <v>298.36615258536398</v>
      </c>
      <c r="I243">
        <v>298.131619707749</v>
      </c>
      <c r="J243">
        <v>297.84500065716202</v>
      </c>
      <c r="K243">
        <v>297.74254395358099</v>
      </c>
      <c r="L243">
        <v>296.37995335359699</v>
      </c>
      <c r="M243">
        <v>303.75</v>
      </c>
      <c r="N243">
        <v>0.60953124999999997</v>
      </c>
      <c r="O243">
        <v>29096.6941220644</v>
      </c>
      <c r="Q243">
        <v>299.14999999999998</v>
      </c>
      <c r="R243">
        <f t="shared" si="19"/>
        <v>26</v>
      </c>
      <c r="S243">
        <f t="shared" si="20"/>
        <v>25.216152585364</v>
      </c>
      <c r="T243">
        <f t="shared" si="21"/>
        <v>24.981619707749019</v>
      </c>
      <c r="U243">
        <f t="shared" si="22"/>
        <v>24.695000657162041</v>
      </c>
      <c r="V243">
        <f t="shared" si="23"/>
        <v>24.592543953581014</v>
      </c>
      <c r="W243">
        <f t="shared" si="24"/>
        <v>23.229953353597011</v>
      </c>
      <c r="Y243">
        <v>60.25</v>
      </c>
    </row>
    <row r="244" spans="1:25" x14ac:dyDescent="0.25">
      <c r="A244">
        <v>0</v>
      </c>
      <c r="B244">
        <v>0.12144104476586801</v>
      </c>
      <c r="C244">
        <v>0.112195419433814</v>
      </c>
      <c r="D244">
        <v>0.113419077822954</v>
      </c>
      <c r="E244">
        <v>9.7048945440027401E-2</v>
      </c>
      <c r="F244">
        <v>0.1</v>
      </c>
      <c r="G244">
        <v>4.5408813917426096</v>
      </c>
      <c r="H244">
        <v>298.401671741418</v>
      </c>
      <c r="I244">
        <v>298.12660131926401</v>
      </c>
      <c r="J244">
        <v>297.860688831782</v>
      </c>
      <c r="K244">
        <v>297.76097780220402</v>
      </c>
      <c r="L244">
        <v>296.37693602767098</v>
      </c>
      <c r="M244">
        <v>303.75</v>
      </c>
      <c r="N244">
        <v>0.61124999999999996</v>
      </c>
      <c r="O244">
        <v>29392.583440224</v>
      </c>
      <c r="Q244">
        <v>299.14999999999998</v>
      </c>
      <c r="R244">
        <f t="shared" si="19"/>
        <v>26</v>
      </c>
      <c r="S244">
        <f t="shared" si="20"/>
        <v>25.251671741418022</v>
      </c>
      <c r="T244">
        <f t="shared" si="21"/>
        <v>24.976601319264034</v>
      </c>
      <c r="U244">
        <f t="shared" si="22"/>
        <v>24.710688831782022</v>
      </c>
      <c r="V244">
        <f t="shared" si="23"/>
        <v>24.610977802204047</v>
      </c>
      <c r="W244">
        <f t="shared" si="24"/>
        <v>23.226936027671002</v>
      </c>
      <c r="Y244">
        <v>60.5</v>
      </c>
    </row>
    <row r="245" spans="1:25" x14ac:dyDescent="0.25">
      <c r="A245">
        <v>0</v>
      </c>
      <c r="B245">
        <v>0.12193841111225701</v>
      </c>
      <c r="C245">
        <v>0.10934854892734</v>
      </c>
      <c r="D245">
        <v>0.112909151899193</v>
      </c>
      <c r="E245">
        <v>9.6543627687429204E-2</v>
      </c>
      <c r="F245">
        <v>0.1</v>
      </c>
      <c r="G245">
        <v>4.5492569597709602</v>
      </c>
      <c r="H245">
        <v>298.43784642353899</v>
      </c>
      <c r="I245">
        <v>298.12579156721699</v>
      </c>
      <c r="J245">
        <v>297.87812151376602</v>
      </c>
      <c r="K245">
        <v>297.79051814182998</v>
      </c>
      <c r="L245">
        <v>296.38206128324799</v>
      </c>
      <c r="M245">
        <v>303.75</v>
      </c>
      <c r="N245">
        <v>0.61234374999999996</v>
      </c>
      <c r="O245">
        <v>29537.5743265645</v>
      </c>
      <c r="Q245">
        <v>299.14999999999998</v>
      </c>
      <c r="R245">
        <f t="shared" si="19"/>
        <v>26</v>
      </c>
      <c r="S245">
        <f t="shared" si="20"/>
        <v>25.287846423539008</v>
      </c>
      <c r="T245">
        <f t="shared" si="21"/>
        <v>24.975791567217016</v>
      </c>
      <c r="U245">
        <f t="shared" si="22"/>
        <v>24.728121513766041</v>
      </c>
      <c r="V245">
        <f t="shared" si="23"/>
        <v>24.64051814183</v>
      </c>
      <c r="W245">
        <f t="shared" si="24"/>
        <v>23.232061283248015</v>
      </c>
      <c r="Y245">
        <v>60.75</v>
      </c>
    </row>
    <row r="246" spans="1:25" x14ac:dyDescent="0.25">
      <c r="A246">
        <v>0</v>
      </c>
      <c r="B246">
        <v>0.124505688082437</v>
      </c>
      <c r="C246">
        <v>0.107972287841844</v>
      </c>
      <c r="D246">
        <v>0.112093296359238</v>
      </c>
      <c r="E246">
        <v>9.5937220312881294E-2</v>
      </c>
      <c r="F246">
        <v>0.1</v>
      </c>
      <c r="G246">
        <v>4.5314851560390697</v>
      </c>
      <c r="H246">
        <v>298.46904003435401</v>
      </c>
      <c r="I246">
        <v>298.12571223176701</v>
      </c>
      <c r="J246">
        <v>297.89617378968597</v>
      </c>
      <c r="K246">
        <v>297.827625334765</v>
      </c>
      <c r="L246">
        <v>296.39374287139998</v>
      </c>
      <c r="M246">
        <v>303.75</v>
      </c>
      <c r="N246">
        <v>0.61</v>
      </c>
      <c r="O246">
        <v>29138.483418449301</v>
      </c>
      <c r="Q246">
        <v>299.14999999999998</v>
      </c>
      <c r="R246">
        <f t="shared" si="19"/>
        <v>26</v>
      </c>
      <c r="S246">
        <f t="shared" si="20"/>
        <v>25.319040034354032</v>
      </c>
      <c r="T246">
        <f t="shared" si="21"/>
        <v>24.975712231767034</v>
      </c>
      <c r="U246">
        <f t="shared" si="22"/>
        <v>24.746173789685997</v>
      </c>
      <c r="V246">
        <f t="shared" si="23"/>
        <v>24.677625334765025</v>
      </c>
      <c r="W246">
        <f t="shared" si="24"/>
        <v>23.243742871400002</v>
      </c>
      <c r="Y246">
        <v>61</v>
      </c>
    </row>
    <row r="247" spans="1:25" x14ac:dyDescent="0.25">
      <c r="A247">
        <v>0</v>
      </c>
      <c r="B247">
        <v>0.126921056390496</v>
      </c>
      <c r="C247">
        <v>0.10675422410676499</v>
      </c>
      <c r="D247">
        <v>0.110392063321491</v>
      </c>
      <c r="E247">
        <v>9.4661179212405994E-2</v>
      </c>
      <c r="F247">
        <v>0.1</v>
      </c>
      <c r="G247">
        <v>4.5265684431132298</v>
      </c>
      <c r="H247">
        <v>298.603811415861</v>
      </c>
      <c r="I247">
        <v>298.22991865173202</v>
      </c>
      <c r="J247">
        <v>298.02887834631298</v>
      </c>
      <c r="K247">
        <v>297.97783008849399</v>
      </c>
      <c r="L247">
        <v>296.50822433788397</v>
      </c>
      <c r="M247">
        <v>303.921875</v>
      </c>
      <c r="N247">
        <v>0.60499999999999998</v>
      </c>
      <c r="O247">
        <v>29374.652511431999</v>
      </c>
      <c r="Q247">
        <v>299.14999999999998</v>
      </c>
      <c r="R247">
        <f t="shared" si="19"/>
        <v>26</v>
      </c>
      <c r="S247">
        <f t="shared" si="20"/>
        <v>25.453811415861026</v>
      </c>
      <c r="T247">
        <f t="shared" si="21"/>
        <v>25.079918651732044</v>
      </c>
      <c r="U247">
        <f t="shared" si="22"/>
        <v>24.878878346313002</v>
      </c>
      <c r="V247">
        <f t="shared" si="23"/>
        <v>24.827830088494011</v>
      </c>
      <c r="W247">
        <f t="shared" si="24"/>
        <v>23.358224337883996</v>
      </c>
      <c r="Y247">
        <v>61.25</v>
      </c>
    </row>
    <row r="248" spans="1:25" x14ac:dyDescent="0.25">
      <c r="A248">
        <v>0</v>
      </c>
      <c r="B248">
        <v>0.13070943617420799</v>
      </c>
      <c r="C248">
        <v>0.10653221549134299</v>
      </c>
      <c r="D248">
        <v>0.110254400621822</v>
      </c>
      <c r="E248">
        <v>9.4516376103852107E-2</v>
      </c>
      <c r="F248">
        <v>0.1</v>
      </c>
      <c r="G248">
        <v>4.54043599796021</v>
      </c>
      <c r="H248">
        <v>298.64217080323101</v>
      </c>
      <c r="I248">
        <v>298.24540387101001</v>
      </c>
      <c r="J248">
        <v>298.06296116677697</v>
      </c>
      <c r="K248">
        <v>298.04168760452001</v>
      </c>
      <c r="L248">
        <v>296.53092585733799</v>
      </c>
      <c r="M248">
        <v>304.29999999999899</v>
      </c>
      <c r="N248">
        <v>0.6</v>
      </c>
      <c r="O248">
        <v>30089.3331906692</v>
      </c>
      <c r="Q248">
        <v>299.14999999999998</v>
      </c>
      <c r="R248">
        <f t="shared" si="19"/>
        <v>26</v>
      </c>
      <c r="S248">
        <f t="shared" si="20"/>
        <v>25.492170803231033</v>
      </c>
      <c r="T248">
        <f t="shared" si="21"/>
        <v>25.095403871010035</v>
      </c>
      <c r="U248">
        <f t="shared" si="22"/>
        <v>24.912961166776995</v>
      </c>
      <c r="V248">
        <f t="shared" si="23"/>
        <v>24.89168760452003</v>
      </c>
      <c r="W248">
        <f t="shared" si="24"/>
        <v>23.380925857338013</v>
      </c>
      <c r="Y248">
        <v>61.5</v>
      </c>
    </row>
    <row r="249" spans="1:25" x14ac:dyDescent="0.25">
      <c r="A249">
        <v>0</v>
      </c>
      <c r="B249">
        <v>0.142883715750768</v>
      </c>
      <c r="C249">
        <v>0.104840851952981</v>
      </c>
      <c r="D249">
        <v>0.109142938637676</v>
      </c>
      <c r="E249">
        <v>9.2893879866550899E-2</v>
      </c>
      <c r="F249">
        <v>0.1</v>
      </c>
      <c r="G249">
        <v>4.5339500874747003</v>
      </c>
      <c r="H249">
        <v>298.66061219171303</v>
      </c>
      <c r="I249">
        <v>298.25804646718802</v>
      </c>
      <c r="J249">
        <v>298.09254125829301</v>
      </c>
      <c r="K249">
        <v>298.10666923397201</v>
      </c>
      <c r="L249">
        <v>296.54955639933598</v>
      </c>
      <c r="M249">
        <v>304.678124999999</v>
      </c>
      <c r="N249">
        <v>0.59499999999999997</v>
      </c>
      <c r="O249">
        <v>30520.593074871402</v>
      </c>
      <c r="Q249">
        <v>299.14999999999998</v>
      </c>
      <c r="R249">
        <f t="shared" si="19"/>
        <v>26</v>
      </c>
      <c r="S249">
        <f t="shared" si="20"/>
        <v>25.510612191713051</v>
      </c>
      <c r="T249">
        <f t="shared" si="21"/>
        <v>25.108046467188046</v>
      </c>
      <c r="U249">
        <f t="shared" si="22"/>
        <v>24.942541258293033</v>
      </c>
      <c r="V249">
        <f t="shared" si="23"/>
        <v>24.956669233972036</v>
      </c>
      <c r="W249">
        <f t="shared" si="24"/>
        <v>23.399556399336007</v>
      </c>
      <c r="Y249">
        <v>61.75</v>
      </c>
    </row>
    <row r="250" spans="1:25" x14ac:dyDescent="0.25">
      <c r="A250">
        <v>0</v>
      </c>
      <c r="B250">
        <v>0.15811509093376599</v>
      </c>
      <c r="C250">
        <v>0.108522171937304</v>
      </c>
      <c r="D250">
        <v>0.11389248221430801</v>
      </c>
      <c r="E250">
        <v>9.5733816410575601E-2</v>
      </c>
      <c r="F250">
        <v>0.1</v>
      </c>
      <c r="G250">
        <v>4.5718653702054999</v>
      </c>
      <c r="H250">
        <v>298.66420790849003</v>
      </c>
      <c r="I250">
        <v>298.259065812899</v>
      </c>
      <c r="J250">
        <v>298.11048221398602</v>
      </c>
      <c r="K250">
        <v>298.16027212436097</v>
      </c>
      <c r="L250">
        <v>296.56109176989298</v>
      </c>
      <c r="M250">
        <v>304.849999999999</v>
      </c>
      <c r="N250">
        <v>0.59</v>
      </c>
      <c r="O250">
        <v>31269.844341531101</v>
      </c>
      <c r="Q250">
        <v>299.14999999999998</v>
      </c>
      <c r="R250">
        <f t="shared" si="19"/>
        <v>26</v>
      </c>
      <c r="S250">
        <f t="shared" si="20"/>
        <v>25.51420790849005</v>
      </c>
      <c r="T250">
        <f t="shared" si="21"/>
        <v>25.109065812899019</v>
      </c>
      <c r="U250">
        <f t="shared" si="22"/>
        <v>24.96048221398604</v>
      </c>
      <c r="V250">
        <f t="shared" si="23"/>
        <v>25.010272124360995</v>
      </c>
      <c r="W250">
        <f t="shared" si="24"/>
        <v>23.411091769893005</v>
      </c>
      <c r="Y250">
        <v>62</v>
      </c>
    </row>
    <row r="251" spans="1:25" x14ac:dyDescent="0.25">
      <c r="A251">
        <v>0</v>
      </c>
      <c r="B251">
        <v>0.182445248299684</v>
      </c>
      <c r="C251">
        <v>0.105318471223212</v>
      </c>
      <c r="D251">
        <v>0.109977682248087</v>
      </c>
      <c r="E251">
        <v>9.2110256858146999E-2</v>
      </c>
      <c r="F251">
        <v>0.1</v>
      </c>
      <c r="G251">
        <v>4.5958760009754496</v>
      </c>
      <c r="H251">
        <v>298.64565246571601</v>
      </c>
      <c r="I251">
        <v>298.265409955672</v>
      </c>
      <c r="J251">
        <v>298.13319337697902</v>
      </c>
      <c r="K251">
        <v>298.215554847931</v>
      </c>
      <c r="L251">
        <v>296.57125259827598</v>
      </c>
      <c r="M251">
        <v>304.849999999999</v>
      </c>
      <c r="N251">
        <v>0.58499999999999996</v>
      </c>
      <c r="O251">
        <v>31235.133738811499</v>
      </c>
      <c r="Q251">
        <v>299.14999999999998</v>
      </c>
      <c r="R251">
        <f t="shared" si="19"/>
        <v>26</v>
      </c>
      <c r="S251">
        <f t="shared" si="20"/>
        <v>25.495652465716034</v>
      </c>
      <c r="T251">
        <f t="shared" si="21"/>
        <v>25.115409955672021</v>
      </c>
      <c r="U251">
        <f t="shared" si="22"/>
        <v>24.983193376979045</v>
      </c>
      <c r="V251">
        <f t="shared" si="23"/>
        <v>25.065554847931026</v>
      </c>
      <c r="W251">
        <f t="shared" si="24"/>
        <v>23.421252598275998</v>
      </c>
      <c r="Y251">
        <v>62.25</v>
      </c>
    </row>
    <row r="252" spans="1:25" x14ac:dyDescent="0.25">
      <c r="A252">
        <v>0</v>
      </c>
      <c r="B252">
        <v>0.22101103261855401</v>
      </c>
      <c r="C252">
        <v>0.115428623151117</v>
      </c>
      <c r="D252">
        <v>0.115293672271768</v>
      </c>
      <c r="E252">
        <v>9.9464290527266699E-2</v>
      </c>
      <c r="F252">
        <v>0.1</v>
      </c>
      <c r="G252">
        <v>4.6078226167078302</v>
      </c>
      <c r="H252">
        <v>298.60769605231201</v>
      </c>
      <c r="I252">
        <v>298.25566718955298</v>
      </c>
      <c r="J252">
        <v>298.14553399390297</v>
      </c>
      <c r="K252">
        <v>298.25571964786701</v>
      </c>
      <c r="L252">
        <v>296.58834561331003</v>
      </c>
      <c r="M252">
        <v>304.849999999999</v>
      </c>
      <c r="N252">
        <v>0.57999999999999996</v>
      </c>
      <c r="O252">
        <v>31200.908947231801</v>
      </c>
      <c r="Q252">
        <v>299.14999999999998</v>
      </c>
      <c r="R252">
        <f t="shared" si="19"/>
        <v>26</v>
      </c>
      <c r="S252">
        <f t="shared" si="20"/>
        <v>25.457696052312031</v>
      </c>
      <c r="T252">
        <f t="shared" si="21"/>
        <v>25.105667189553003</v>
      </c>
      <c r="U252">
        <f t="shared" si="22"/>
        <v>24.995533993902995</v>
      </c>
      <c r="V252">
        <f t="shared" si="23"/>
        <v>25.105719647867033</v>
      </c>
      <c r="W252">
        <f t="shared" si="24"/>
        <v>23.438345613310048</v>
      </c>
      <c r="Y252">
        <v>62.5</v>
      </c>
    </row>
    <row r="253" spans="1:25" x14ac:dyDescent="0.25">
      <c r="A253">
        <v>0</v>
      </c>
      <c r="B253">
        <v>0.24520347879186599</v>
      </c>
      <c r="C253">
        <v>0.125910343113975</v>
      </c>
      <c r="D253">
        <v>0.119357822981522</v>
      </c>
      <c r="E253">
        <v>0.106921100050637</v>
      </c>
      <c r="F253">
        <v>0.1</v>
      </c>
      <c r="G253">
        <v>4.6145823226723701</v>
      </c>
      <c r="H253">
        <v>298.58178790154801</v>
      </c>
      <c r="I253">
        <v>298.24603093471802</v>
      </c>
      <c r="J253">
        <v>298.15974289891801</v>
      </c>
      <c r="K253">
        <v>298.29153085053099</v>
      </c>
      <c r="L253">
        <v>296.605738707711</v>
      </c>
      <c r="M253">
        <v>304.849999999999</v>
      </c>
      <c r="N253">
        <v>0.57499999999999996</v>
      </c>
      <c r="O253">
        <v>31037.974743013801</v>
      </c>
      <c r="Q253">
        <v>299.14999999999998</v>
      </c>
      <c r="R253">
        <f t="shared" si="19"/>
        <v>26</v>
      </c>
      <c r="S253">
        <f t="shared" si="20"/>
        <v>25.431787901548034</v>
      </c>
      <c r="T253">
        <f t="shared" si="21"/>
        <v>25.096030934718044</v>
      </c>
      <c r="U253">
        <f t="shared" si="22"/>
        <v>25.009742898918034</v>
      </c>
      <c r="V253">
        <f t="shared" si="23"/>
        <v>25.141530850531012</v>
      </c>
      <c r="W253">
        <f t="shared" si="24"/>
        <v>23.455738707711021</v>
      </c>
      <c r="Y253">
        <v>62.75</v>
      </c>
    </row>
    <row r="254" spans="1:25" x14ac:dyDescent="0.25">
      <c r="A254">
        <v>0</v>
      </c>
      <c r="B254">
        <v>0.275450475238391</v>
      </c>
      <c r="C254">
        <v>0.12942675183661601</v>
      </c>
      <c r="D254">
        <v>0.115965820736216</v>
      </c>
      <c r="E254">
        <v>0.11024339950039901</v>
      </c>
      <c r="F254">
        <v>0.1</v>
      </c>
      <c r="G254">
        <v>4.6194644429588401</v>
      </c>
      <c r="H254">
        <v>298.54702573775597</v>
      </c>
      <c r="I254">
        <v>298.24426711496602</v>
      </c>
      <c r="J254">
        <v>298.18135490024002</v>
      </c>
      <c r="K254">
        <v>298.33767990857598</v>
      </c>
      <c r="L254">
        <v>296.621050062508</v>
      </c>
      <c r="M254">
        <v>304.849999999999</v>
      </c>
      <c r="N254">
        <v>0.56999999999999995</v>
      </c>
      <c r="O254">
        <v>30972.402973966899</v>
      </c>
      <c r="Q254">
        <v>299.14999999999998</v>
      </c>
      <c r="R254">
        <f t="shared" si="19"/>
        <v>26</v>
      </c>
      <c r="S254">
        <f t="shared" si="20"/>
        <v>25.397025737755996</v>
      </c>
      <c r="T254">
        <f t="shared" si="21"/>
        <v>25.094267114966044</v>
      </c>
      <c r="U254">
        <f t="shared" si="22"/>
        <v>25.031354900240046</v>
      </c>
      <c r="V254">
        <f t="shared" si="23"/>
        <v>25.187679908576001</v>
      </c>
      <c r="W254">
        <f t="shared" si="24"/>
        <v>23.471050062508027</v>
      </c>
      <c r="Y254">
        <v>63</v>
      </c>
    </row>
    <row r="255" spans="1:25" x14ac:dyDescent="0.25">
      <c r="A255">
        <v>0</v>
      </c>
      <c r="B255">
        <v>0.28093304724073298</v>
      </c>
      <c r="C255">
        <v>0.134122389586426</v>
      </c>
      <c r="D255">
        <v>0.12007519121342</v>
      </c>
      <c r="E255">
        <v>0.11643436681251799</v>
      </c>
      <c r="F255">
        <v>0.1</v>
      </c>
      <c r="G255">
        <v>4.6224072204170303</v>
      </c>
      <c r="H255">
        <v>298.538189791744</v>
      </c>
      <c r="I255">
        <v>298.23902573270402</v>
      </c>
      <c r="J255">
        <v>298.19136365196499</v>
      </c>
      <c r="K255">
        <v>298.38288535517302</v>
      </c>
      <c r="L255">
        <v>296.63392934122601</v>
      </c>
      <c r="M255">
        <v>304.849999999999</v>
      </c>
      <c r="N255">
        <v>0.56499999999999995</v>
      </c>
      <c r="O255">
        <v>30865.5153056667</v>
      </c>
      <c r="Q255">
        <v>299.14999999999998</v>
      </c>
      <c r="R255">
        <f t="shared" si="19"/>
        <v>26</v>
      </c>
      <c r="S255">
        <f t="shared" si="20"/>
        <v>25.388189791744026</v>
      </c>
      <c r="T255">
        <f t="shared" si="21"/>
        <v>25.089025732704044</v>
      </c>
      <c r="U255">
        <f t="shared" si="22"/>
        <v>25.041363651965014</v>
      </c>
      <c r="V255">
        <f t="shared" si="23"/>
        <v>25.232885355173039</v>
      </c>
      <c r="W255">
        <f t="shared" si="24"/>
        <v>23.48392934122603</v>
      </c>
      <c r="Y255">
        <v>63.25</v>
      </c>
    </row>
    <row r="256" spans="1:25" x14ac:dyDescent="0.25">
      <c r="A256">
        <v>0</v>
      </c>
      <c r="B256">
        <v>0.258564157670298</v>
      </c>
      <c r="C256">
        <v>0.124813821735498</v>
      </c>
      <c r="D256">
        <v>0.115351236030235</v>
      </c>
      <c r="E256">
        <v>0.115612174764348</v>
      </c>
      <c r="F256">
        <v>0.1</v>
      </c>
      <c r="G256">
        <v>4.6169935120381602</v>
      </c>
      <c r="H256">
        <v>298.553197922923</v>
      </c>
      <c r="I256">
        <v>298.24534401599902</v>
      </c>
      <c r="J256">
        <v>298.20458712993701</v>
      </c>
      <c r="K256">
        <v>298.42959246415302</v>
      </c>
      <c r="L256">
        <v>296.63469012730599</v>
      </c>
      <c r="M256">
        <v>304.849999999999</v>
      </c>
      <c r="N256">
        <v>0.56000000000000005</v>
      </c>
      <c r="O256">
        <v>30821.987987347002</v>
      </c>
      <c r="Q256">
        <v>299.14999999999998</v>
      </c>
      <c r="R256">
        <f t="shared" si="19"/>
        <v>26</v>
      </c>
      <c r="S256">
        <f t="shared" si="20"/>
        <v>25.403197922923027</v>
      </c>
      <c r="T256">
        <f t="shared" si="21"/>
        <v>25.095344015999046</v>
      </c>
      <c r="U256">
        <f t="shared" si="22"/>
        <v>25.054587129937033</v>
      </c>
      <c r="V256">
        <f t="shared" si="23"/>
        <v>25.279592464153041</v>
      </c>
      <c r="W256">
        <f t="shared" si="24"/>
        <v>23.48469012730601</v>
      </c>
      <c r="Y256">
        <v>63.5</v>
      </c>
    </row>
    <row r="257" spans="1:25" x14ac:dyDescent="0.25">
      <c r="A257">
        <v>0</v>
      </c>
      <c r="B257">
        <v>0.25226158627219403</v>
      </c>
      <c r="C257">
        <v>0.115026589234764</v>
      </c>
      <c r="D257">
        <v>0.11105708857348399</v>
      </c>
      <c r="E257">
        <v>0.117228014759219</v>
      </c>
      <c r="F257">
        <v>0.1</v>
      </c>
      <c r="G257">
        <v>4.6142407029789601</v>
      </c>
      <c r="H257">
        <v>298.548433322346</v>
      </c>
      <c r="I257">
        <v>298.25335005566501</v>
      </c>
      <c r="J257">
        <v>298.21719923124101</v>
      </c>
      <c r="K257">
        <v>298.468449569744</v>
      </c>
      <c r="L257">
        <v>296.63765989126898</v>
      </c>
      <c r="M257">
        <v>304.849999999999</v>
      </c>
      <c r="N257">
        <v>0.55500000000000005</v>
      </c>
      <c r="O257">
        <v>30797.687200572302</v>
      </c>
      <c r="Q257">
        <v>299.14999999999998</v>
      </c>
      <c r="R257">
        <f t="shared" si="19"/>
        <v>26</v>
      </c>
      <c r="S257">
        <f t="shared" si="20"/>
        <v>25.398433322346023</v>
      </c>
      <c r="T257">
        <f t="shared" si="21"/>
        <v>25.103350055665032</v>
      </c>
      <c r="U257">
        <f t="shared" si="22"/>
        <v>25.067199231241034</v>
      </c>
      <c r="V257">
        <f t="shared" si="23"/>
        <v>25.318449569744018</v>
      </c>
      <c r="W257">
        <f t="shared" si="24"/>
        <v>23.487659891269004</v>
      </c>
      <c r="Y257">
        <v>63.75</v>
      </c>
    </row>
    <row r="258" spans="1:25" x14ac:dyDescent="0.25">
      <c r="A258">
        <v>0</v>
      </c>
      <c r="B258">
        <v>0.25658592502838201</v>
      </c>
      <c r="C258">
        <v>0.113732990336608</v>
      </c>
      <c r="D258">
        <v>0.11203761213123201</v>
      </c>
      <c r="E258">
        <v>0.126774103394551</v>
      </c>
      <c r="F258">
        <v>0.1</v>
      </c>
      <c r="G258">
        <v>4.6162072187222902</v>
      </c>
      <c r="H258">
        <v>298.53208759102898</v>
      </c>
      <c r="I258">
        <v>298.25210386910499</v>
      </c>
      <c r="J258">
        <v>298.22475915998399</v>
      </c>
      <c r="K258">
        <v>298.492848097847</v>
      </c>
      <c r="L258">
        <v>296.64531253546699</v>
      </c>
      <c r="M258">
        <v>304.849999999999</v>
      </c>
      <c r="N258">
        <v>0.55000000000000004</v>
      </c>
      <c r="O258">
        <v>30656.449146840499</v>
      </c>
      <c r="Q258">
        <v>299.14999999999998</v>
      </c>
      <c r="R258">
        <f t="shared" si="19"/>
        <v>26</v>
      </c>
      <c r="S258">
        <f t="shared" si="20"/>
        <v>25.382087591029006</v>
      </c>
      <c r="T258">
        <f t="shared" si="21"/>
        <v>25.102103869105008</v>
      </c>
      <c r="U258">
        <f t="shared" si="22"/>
        <v>25.074759159984012</v>
      </c>
      <c r="V258">
        <f t="shared" si="23"/>
        <v>25.342848097847025</v>
      </c>
      <c r="W258">
        <f t="shared" si="24"/>
        <v>23.495312535467008</v>
      </c>
      <c r="Y258">
        <v>64</v>
      </c>
    </row>
    <row r="259" spans="1:25" x14ac:dyDescent="0.25">
      <c r="A259">
        <v>0</v>
      </c>
      <c r="B259">
        <v>0.25365540043291102</v>
      </c>
      <c r="C259">
        <v>0.11198814130267699</v>
      </c>
      <c r="D259">
        <v>0.11105122264684</v>
      </c>
      <c r="E259">
        <v>0.138194703181893</v>
      </c>
      <c r="F259">
        <v>0.1</v>
      </c>
      <c r="G259">
        <v>4.6169735378043901</v>
      </c>
      <c r="H259">
        <v>298.52153664915602</v>
      </c>
      <c r="I259">
        <v>298.24874903730102</v>
      </c>
      <c r="J259">
        <v>298.23166256618498</v>
      </c>
      <c r="K259">
        <v>298.50239212989101</v>
      </c>
      <c r="L259">
        <v>296.64971242975702</v>
      </c>
      <c r="M259">
        <v>304.70502717391298</v>
      </c>
      <c r="N259">
        <v>0.55562500000000004</v>
      </c>
      <c r="O259">
        <v>30506.401504307902</v>
      </c>
      <c r="Q259">
        <v>299.14999999999998</v>
      </c>
      <c r="R259">
        <f t="shared" ref="R259:R289" si="25">IF(MOD(Y259,24)&lt;7,30,(IF(MOD(Y259,24)&lt;20,26,30)))</f>
        <v>26</v>
      </c>
      <c r="S259">
        <f t="shared" ref="S259:S322" si="26">H259-273.15</f>
        <v>25.371536649156042</v>
      </c>
      <c r="T259">
        <f t="shared" ref="T259:T322" si="27">I259-273.15</f>
        <v>25.098749037301047</v>
      </c>
      <c r="U259">
        <f t="shared" ref="U259:U322" si="28">J259-273.15</f>
        <v>25.081662566185003</v>
      </c>
      <c r="V259">
        <f t="shared" ref="V259:V322" si="29">K259-273.15</f>
        <v>25.35239212989103</v>
      </c>
      <c r="W259">
        <f t="shared" ref="W259:W322" si="30">L259-273.15</f>
        <v>23.499712429757039</v>
      </c>
      <c r="Y259">
        <v>64.25</v>
      </c>
    </row>
    <row r="260" spans="1:25" x14ac:dyDescent="0.25">
      <c r="A260">
        <v>0</v>
      </c>
      <c r="B260">
        <v>0.25266600434143699</v>
      </c>
      <c r="C260">
        <v>0.11179199923452</v>
      </c>
      <c r="D260">
        <v>0.111333424286094</v>
      </c>
      <c r="E260">
        <v>0.15056748558045299</v>
      </c>
      <c r="F260">
        <v>0.1</v>
      </c>
      <c r="G260">
        <v>4.6184943483756298</v>
      </c>
      <c r="H260">
        <v>298.50630365567201</v>
      </c>
      <c r="I260">
        <v>298.239865485829</v>
      </c>
      <c r="J260">
        <v>298.23275655055801</v>
      </c>
      <c r="K260">
        <v>298.49981968701002</v>
      </c>
      <c r="L260">
        <v>296.652194325202</v>
      </c>
      <c r="M260">
        <v>304.37173913043398</v>
      </c>
      <c r="N260">
        <v>0.57499999999999996</v>
      </c>
      <c r="O260">
        <v>30604.790551748902</v>
      </c>
      <c r="Q260">
        <v>299.14999999999998</v>
      </c>
      <c r="R260">
        <f t="shared" si="25"/>
        <v>26</v>
      </c>
      <c r="S260">
        <f t="shared" si="26"/>
        <v>25.356303655672036</v>
      </c>
      <c r="T260">
        <f t="shared" si="27"/>
        <v>25.089865485829023</v>
      </c>
      <c r="U260">
        <f t="shared" si="28"/>
        <v>25.082756550558031</v>
      </c>
      <c r="V260">
        <f t="shared" si="29"/>
        <v>25.34981968701004</v>
      </c>
      <c r="W260">
        <f t="shared" si="30"/>
        <v>23.502194325202026</v>
      </c>
      <c r="Y260">
        <v>64.5</v>
      </c>
    </row>
    <row r="261" spans="1:25" x14ac:dyDescent="0.25">
      <c r="A261">
        <v>0</v>
      </c>
      <c r="B261">
        <v>0.25279801946317698</v>
      </c>
      <c r="C261">
        <v>0.11463325560646</v>
      </c>
      <c r="D261">
        <v>0.112827310958161</v>
      </c>
      <c r="E261">
        <v>0.16363397291500001</v>
      </c>
      <c r="F261">
        <v>0.1</v>
      </c>
      <c r="G261">
        <v>4.6208853339926197</v>
      </c>
      <c r="H261">
        <v>298.48853781336499</v>
      </c>
      <c r="I261">
        <v>298.22417117032899</v>
      </c>
      <c r="J261">
        <v>298.22919885202998</v>
      </c>
      <c r="K261">
        <v>298.493871302988</v>
      </c>
      <c r="L261">
        <v>296.65429574859002</v>
      </c>
      <c r="M261">
        <v>304.00258152173899</v>
      </c>
      <c r="N261">
        <v>0.59687500000000004</v>
      </c>
      <c r="O261">
        <v>30743.1128751131</v>
      </c>
      <c r="Q261">
        <v>299.14999999999998</v>
      </c>
      <c r="R261">
        <f t="shared" si="25"/>
        <v>26</v>
      </c>
      <c r="S261">
        <f t="shared" si="26"/>
        <v>25.338537813365008</v>
      </c>
      <c r="T261">
        <f t="shared" si="27"/>
        <v>25.074171170329009</v>
      </c>
      <c r="U261">
        <f t="shared" si="28"/>
        <v>25.079198852030004</v>
      </c>
      <c r="V261">
        <f t="shared" si="29"/>
        <v>25.34387130298802</v>
      </c>
      <c r="W261">
        <f t="shared" si="30"/>
        <v>23.504295748590039</v>
      </c>
      <c r="Y261">
        <v>64.75</v>
      </c>
    </row>
    <row r="262" spans="1:25" x14ac:dyDescent="0.25">
      <c r="A262">
        <v>0</v>
      </c>
      <c r="B262">
        <v>0.24899933490478099</v>
      </c>
      <c r="C262">
        <v>0.120763197056566</v>
      </c>
      <c r="D262">
        <v>0.114383082429609</v>
      </c>
      <c r="E262">
        <v>0.17406915546969901</v>
      </c>
      <c r="F262">
        <v>0.1</v>
      </c>
      <c r="G262">
        <v>4.6228635390673798</v>
      </c>
      <c r="H262">
        <v>298.47397477465398</v>
      </c>
      <c r="I262">
        <v>298.20072237657399</v>
      </c>
      <c r="J262">
        <v>298.223359169915</v>
      </c>
      <c r="K262">
        <v>298.487046456737</v>
      </c>
      <c r="L262">
        <v>296.65444410060098</v>
      </c>
      <c r="M262">
        <v>303.75</v>
      </c>
      <c r="N262">
        <v>0.61</v>
      </c>
      <c r="O262">
        <v>30542.123610779799</v>
      </c>
      <c r="Q262">
        <v>299.14999999999998</v>
      </c>
      <c r="R262">
        <f t="shared" si="25"/>
        <v>26</v>
      </c>
      <c r="S262">
        <f t="shared" si="26"/>
        <v>25.323974774654005</v>
      </c>
      <c r="T262">
        <f t="shared" si="27"/>
        <v>25.050722376574015</v>
      </c>
      <c r="U262">
        <f t="shared" si="28"/>
        <v>25.073359169915022</v>
      </c>
      <c r="V262">
        <f t="shared" si="29"/>
        <v>25.337046456737028</v>
      </c>
      <c r="W262">
        <f t="shared" si="30"/>
        <v>23.504444100601006</v>
      </c>
      <c r="Y262">
        <v>65</v>
      </c>
    </row>
    <row r="263" spans="1:25" x14ac:dyDescent="0.25">
      <c r="A263">
        <v>0</v>
      </c>
      <c r="B263">
        <v>0.25173901137525001</v>
      </c>
      <c r="C263">
        <v>0.127690872931153</v>
      </c>
      <c r="D263">
        <v>0.117245322336435</v>
      </c>
      <c r="E263">
        <v>0.18244619487519401</v>
      </c>
      <c r="F263">
        <v>0.1</v>
      </c>
      <c r="G263">
        <v>4.6259024494028198</v>
      </c>
      <c r="H263">
        <v>298.40654237646902</v>
      </c>
      <c r="I263">
        <v>298.13013176020002</v>
      </c>
      <c r="J263">
        <v>298.16825565456401</v>
      </c>
      <c r="K263">
        <v>298.435795528131</v>
      </c>
      <c r="L263">
        <v>296.60883356617501</v>
      </c>
      <c r="M263">
        <v>303.696195652173</v>
      </c>
      <c r="N263">
        <v>0.61499999999999999</v>
      </c>
      <c r="O263">
        <v>30356.628094512002</v>
      </c>
      <c r="Q263">
        <v>299.14999999999998</v>
      </c>
      <c r="R263">
        <f t="shared" si="25"/>
        <v>26</v>
      </c>
      <c r="S263">
        <f t="shared" si="26"/>
        <v>25.256542376469042</v>
      </c>
      <c r="T263">
        <f t="shared" si="27"/>
        <v>24.980131760200038</v>
      </c>
      <c r="U263">
        <f t="shared" si="28"/>
        <v>25.01825565456403</v>
      </c>
      <c r="V263">
        <f t="shared" si="29"/>
        <v>25.285795528131018</v>
      </c>
      <c r="W263">
        <f t="shared" si="30"/>
        <v>23.458833566175031</v>
      </c>
      <c r="Y263">
        <v>65.25</v>
      </c>
    </row>
    <row r="264" spans="1:25" x14ac:dyDescent="0.25">
      <c r="A264">
        <v>0</v>
      </c>
      <c r="B264">
        <v>0.24861306882454501</v>
      </c>
      <c r="C264">
        <v>0.13244264747088999</v>
      </c>
      <c r="D264">
        <v>0.120095235253581</v>
      </c>
      <c r="E264">
        <v>0.18815451272629499</v>
      </c>
      <c r="F264">
        <v>0.1</v>
      </c>
      <c r="G264">
        <v>4.6274834839231396</v>
      </c>
      <c r="H264">
        <v>298.32459555992801</v>
      </c>
      <c r="I264">
        <v>298.04074259622797</v>
      </c>
      <c r="J264">
        <v>298.091754791038</v>
      </c>
      <c r="K264">
        <v>298.36284651462603</v>
      </c>
      <c r="L264">
        <v>296.54100326304899</v>
      </c>
      <c r="M264">
        <v>303.75</v>
      </c>
      <c r="N264">
        <v>0.62</v>
      </c>
      <c r="O264">
        <v>30373.764294851499</v>
      </c>
      <c r="Q264">
        <v>299.14999999999998</v>
      </c>
      <c r="R264">
        <f t="shared" si="25"/>
        <v>26</v>
      </c>
      <c r="S264">
        <f t="shared" si="26"/>
        <v>25.174595559928036</v>
      </c>
      <c r="T264">
        <f t="shared" si="27"/>
        <v>24.890742596227994</v>
      </c>
      <c r="U264">
        <f t="shared" si="28"/>
        <v>24.941754791038022</v>
      </c>
      <c r="V264">
        <f t="shared" si="29"/>
        <v>25.212846514626051</v>
      </c>
      <c r="W264">
        <f t="shared" si="30"/>
        <v>23.391003263049015</v>
      </c>
      <c r="Y264">
        <v>65.5</v>
      </c>
    </row>
    <row r="265" spans="1:25" x14ac:dyDescent="0.25">
      <c r="A265">
        <v>0</v>
      </c>
      <c r="B265">
        <v>0.21573855684264301</v>
      </c>
      <c r="C265">
        <v>0.124669367328238</v>
      </c>
      <c r="D265">
        <v>0.11615721702955201</v>
      </c>
      <c r="E265">
        <v>0.17390630431272899</v>
      </c>
      <c r="F265">
        <v>0.1</v>
      </c>
      <c r="G265">
        <v>4.6191221718489901</v>
      </c>
      <c r="H265">
        <v>298.26178211988702</v>
      </c>
      <c r="I265">
        <v>297.95221328006301</v>
      </c>
      <c r="J265">
        <v>298.007600919325</v>
      </c>
      <c r="K265">
        <v>298.28724487909</v>
      </c>
      <c r="L265">
        <v>296.45220892669499</v>
      </c>
      <c r="M265">
        <v>303.80380434782597</v>
      </c>
      <c r="N265">
        <v>0.625</v>
      </c>
      <c r="O265">
        <v>30388.834291730102</v>
      </c>
      <c r="Q265">
        <v>299.14999999999998</v>
      </c>
      <c r="R265">
        <f t="shared" si="25"/>
        <v>26</v>
      </c>
      <c r="S265">
        <f t="shared" si="26"/>
        <v>25.111782119887039</v>
      </c>
      <c r="T265">
        <f t="shared" si="27"/>
        <v>24.802213280063029</v>
      </c>
      <c r="U265">
        <f t="shared" si="28"/>
        <v>24.857600919325023</v>
      </c>
      <c r="V265">
        <f t="shared" si="29"/>
        <v>25.137244879090019</v>
      </c>
      <c r="W265">
        <f t="shared" si="30"/>
        <v>23.302208926695016</v>
      </c>
      <c r="Y265">
        <v>65.75</v>
      </c>
    </row>
    <row r="266" spans="1:25" x14ac:dyDescent="0.25">
      <c r="A266">
        <v>0</v>
      </c>
      <c r="B266">
        <v>0.17817628268435401</v>
      </c>
      <c r="C266">
        <v>0.11754603630051901</v>
      </c>
      <c r="D266">
        <v>0.118429746150369</v>
      </c>
      <c r="E266">
        <v>0.15249516518119599</v>
      </c>
      <c r="F266">
        <v>0.1</v>
      </c>
      <c r="G266">
        <v>4.6098146809885803</v>
      </c>
      <c r="H266">
        <v>298.19697849637703</v>
      </c>
      <c r="I266">
        <v>297.85508572757101</v>
      </c>
      <c r="J266">
        <v>297.90712818399498</v>
      </c>
      <c r="K266">
        <v>298.20383125994903</v>
      </c>
      <c r="L266">
        <v>296.35617612988398</v>
      </c>
      <c r="M266">
        <v>303.75</v>
      </c>
      <c r="N266">
        <v>0.63</v>
      </c>
      <c r="O266">
        <v>30382.408571204502</v>
      </c>
      <c r="Q266">
        <v>299.14999999999998</v>
      </c>
      <c r="R266">
        <f t="shared" si="25"/>
        <v>26</v>
      </c>
      <c r="S266">
        <f t="shared" si="26"/>
        <v>25.046978496377051</v>
      </c>
      <c r="T266">
        <f t="shared" si="27"/>
        <v>24.705085727571031</v>
      </c>
      <c r="U266">
        <f t="shared" si="28"/>
        <v>24.757128183995007</v>
      </c>
      <c r="V266">
        <f t="shared" si="29"/>
        <v>25.05383125994905</v>
      </c>
      <c r="W266">
        <f t="shared" si="30"/>
        <v>23.206176129884</v>
      </c>
      <c r="Y266">
        <v>66</v>
      </c>
    </row>
    <row r="267" spans="1:25" x14ac:dyDescent="0.25">
      <c r="A267">
        <v>0</v>
      </c>
      <c r="B267">
        <v>0.145210825525071</v>
      </c>
      <c r="C267">
        <v>0.111585719558079</v>
      </c>
      <c r="D267">
        <v>0.11383262150901299</v>
      </c>
      <c r="E267">
        <v>0.13240537345430101</v>
      </c>
      <c r="F267">
        <v>0.1</v>
      </c>
      <c r="G267">
        <v>4.60031507720206</v>
      </c>
      <c r="H267">
        <v>298.11994154981301</v>
      </c>
      <c r="I267">
        <v>297.74947772359798</v>
      </c>
      <c r="J267">
        <v>297.80601187483802</v>
      </c>
      <c r="K267">
        <v>298.10272874647097</v>
      </c>
      <c r="L267">
        <v>296.25461111611099</v>
      </c>
      <c r="M267">
        <v>303.52304347825998</v>
      </c>
      <c r="N267">
        <v>0.63500000000000001</v>
      </c>
      <c r="O267">
        <v>30014.7873263109</v>
      </c>
      <c r="Q267">
        <v>299.14999999999998</v>
      </c>
      <c r="R267">
        <f t="shared" si="25"/>
        <v>26</v>
      </c>
      <c r="S267">
        <f t="shared" si="26"/>
        <v>24.969941549813029</v>
      </c>
      <c r="T267">
        <f t="shared" si="27"/>
        <v>24.599477723598</v>
      </c>
      <c r="U267">
        <f t="shared" si="28"/>
        <v>24.656011874838043</v>
      </c>
      <c r="V267">
        <f t="shared" si="29"/>
        <v>24.952728746470996</v>
      </c>
      <c r="W267">
        <f t="shared" si="30"/>
        <v>23.104611116111016</v>
      </c>
      <c r="Y267">
        <v>66.25</v>
      </c>
    </row>
    <row r="268" spans="1:25" x14ac:dyDescent="0.25">
      <c r="A268">
        <v>0</v>
      </c>
      <c r="B268">
        <v>0.12679712161512099</v>
      </c>
      <c r="C268">
        <v>0.114407591744143</v>
      </c>
      <c r="D268">
        <v>0.117309420197046</v>
      </c>
      <c r="E268">
        <v>0.11722480094886099</v>
      </c>
      <c r="F268">
        <v>0.1</v>
      </c>
      <c r="G268">
        <v>4.5506622480895702</v>
      </c>
      <c r="H268">
        <v>298.03266514161697</v>
      </c>
      <c r="I268">
        <v>297.64053979396999</v>
      </c>
      <c r="J268">
        <v>297.699053431246</v>
      </c>
      <c r="K268">
        <v>297.99742156229701</v>
      </c>
      <c r="L268">
        <v>296.17231500438697</v>
      </c>
      <c r="M268">
        <v>303.188260869565</v>
      </c>
      <c r="N268">
        <v>0.64</v>
      </c>
      <c r="O268">
        <v>28986.791805231202</v>
      </c>
      <c r="Q268">
        <v>299.14999999999998</v>
      </c>
      <c r="R268">
        <f t="shared" si="25"/>
        <v>26</v>
      </c>
      <c r="S268">
        <f t="shared" si="26"/>
        <v>24.882665141616997</v>
      </c>
      <c r="T268">
        <f t="shared" si="27"/>
        <v>24.490539793970015</v>
      </c>
      <c r="U268">
        <f t="shared" si="28"/>
        <v>24.549053431246023</v>
      </c>
      <c r="V268">
        <f t="shared" si="29"/>
        <v>24.847421562297029</v>
      </c>
      <c r="W268">
        <f t="shared" si="30"/>
        <v>23.022315004386996</v>
      </c>
      <c r="Y268">
        <v>66.5</v>
      </c>
    </row>
    <row r="269" spans="1:25" x14ac:dyDescent="0.25">
      <c r="A269">
        <v>0</v>
      </c>
      <c r="B269">
        <v>0.116909591130938</v>
      </c>
      <c r="C269">
        <v>0.111988053765537</v>
      </c>
      <c r="D269">
        <v>0.114862602210658</v>
      </c>
      <c r="E269">
        <v>0.10575215941605901</v>
      </c>
      <c r="F269">
        <v>0.1</v>
      </c>
      <c r="G269">
        <v>4.5333542027325002</v>
      </c>
      <c r="H269">
        <v>297.92161865659898</v>
      </c>
      <c r="I269">
        <v>297.52338165686399</v>
      </c>
      <c r="J269">
        <v>297.58432238904902</v>
      </c>
      <c r="K269">
        <v>297.87295951087202</v>
      </c>
      <c r="L269">
        <v>296.06938426619303</v>
      </c>
      <c r="M269">
        <v>302.834347826086</v>
      </c>
      <c r="N269">
        <v>0.64500000000000002</v>
      </c>
      <c r="O269">
        <v>28239.716966516098</v>
      </c>
      <c r="Q269">
        <v>299.14999999999998</v>
      </c>
      <c r="R269">
        <f t="shared" si="25"/>
        <v>26</v>
      </c>
      <c r="S269">
        <f t="shared" si="26"/>
        <v>24.771618656599003</v>
      </c>
      <c r="T269">
        <f t="shared" si="27"/>
        <v>24.373381656864012</v>
      </c>
      <c r="U269">
        <f t="shared" si="28"/>
        <v>24.434322389049044</v>
      </c>
      <c r="V269">
        <f t="shared" si="29"/>
        <v>24.722959510872045</v>
      </c>
      <c r="W269">
        <f t="shared" si="30"/>
        <v>22.919384266193049</v>
      </c>
      <c r="Y269">
        <v>66.75</v>
      </c>
    </row>
    <row r="270" spans="1:25" x14ac:dyDescent="0.25">
      <c r="A270">
        <v>0</v>
      </c>
      <c r="B270">
        <v>0.111688238094504</v>
      </c>
      <c r="C270">
        <v>0.110115211524099</v>
      </c>
      <c r="D270">
        <v>0.11285538626071399</v>
      </c>
      <c r="E270">
        <v>9.7710152914529905E-2</v>
      </c>
      <c r="F270">
        <v>0.1</v>
      </c>
      <c r="G270">
        <v>4.5263358163296701</v>
      </c>
      <c r="H270">
        <v>297.80872129306903</v>
      </c>
      <c r="I270">
        <v>297.41004087937301</v>
      </c>
      <c r="J270">
        <v>297.471747010743</v>
      </c>
      <c r="K270">
        <v>297.74988024659399</v>
      </c>
      <c r="L270">
        <v>295.973348413682</v>
      </c>
      <c r="M270">
        <v>302.54999999999899</v>
      </c>
      <c r="N270">
        <v>0.65</v>
      </c>
      <c r="O270">
        <v>27491.744539389001</v>
      </c>
      <c r="Q270">
        <v>299.14999999999998</v>
      </c>
      <c r="R270">
        <f t="shared" si="25"/>
        <v>26</v>
      </c>
      <c r="S270">
        <f t="shared" si="26"/>
        <v>24.65872129306905</v>
      </c>
      <c r="T270">
        <f t="shared" si="27"/>
        <v>24.260040879373037</v>
      </c>
      <c r="U270">
        <f t="shared" si="28"/>
        <v>24.321747010743024</v>
      </c>
      <c r="V270">
        <f t="shared" si="29"/>
        <v>24.599880246594012</v>
      </c>
      <c r="W270">
        <f t="shared" si="30"/>
        <v>22.823348413682027</v>
      </c>
      <c r="Y270">
        <v>67</v>
      </c>
    </row>
    <row r="271" spans="1:25" x14ac:dyDescent="0.25">
      <c r="A271">
        <v>0</v>
      </c>
      <c r="B271">
        <v>1.6525660332689499E-2</v>
      </c>
      <c r="C271">
        <v>1.5693166791773999E-2</v>
      </c>
      <c r="D271">
        <v>1.6525660332689901E-2</v>
      </c>
      <c r="E271">
        <v>1.2205796393605899E-2</v>
      </c>
      <c r="F271">
        <v>0.1</v>
      </c>
      <c r="G271">
        <v>0.139343402162348</v>
      </c>
      <c r="H271">
        <v>299.08075709594698</v>
      </c>
      <c r="I271">
        <v>298.812953464109</v>
      </c>
      <c r="J271">
        <v>298.65938383846901</v>
      </c>
      <c r="K271">
        <v>299.156327148081</v>
      </c>
      <c r="L271">
        <v>298.12119687367601</v>
      </c>
      <c r="M271">
        <v>302.47265625</v>
      </c>
      <c r="N271">
        <v>0.64953125</v>
      </c>
      <c r="O271">
        <v>1542.0722664738</v>
      </c>
      <c r="Q271">
        <v>299.14999999999998</v>
      </c>
      <c r="R271">
        <f t="shared" si="25"/>
        <v>26</v>
      </c>
      <c r="S271">
        <f t="shared" si="26"/>
        <v>25.930757095947001</v>
      </c>
      <c r="T271">
        <f t="shared" si="27"/>
        <v>25.662953464109023</v>
      </c>
      <c r="U271">
        <f t="shared" si="28"/>
        <v>25.509383838469034</v>
      </c>
      <c r="V271">
        <f t="shared" si="29"/>
        <v>26.006327148081027</v>
      </c>
      <c r="W271">
        <f t="shared" si="30"/>
        <v>24.971196873676035</v>
      </c>
      <c r="Y271">
        <v>67.25</v>
      </c>
    </row>
    <row r="272" spans="1:25" x14ac:dyDescent="0.25">
      <c r="A272">
        <v>0</v>
      </c>
      <c r="B272">
        <v>1.62670092225135E-2</v>
      </c>
      <c r="C272">
        <v>1.5447545441027499E-2</v>
      </c>
      <c r="D272">
        <v>1.62670092225135E-2</v>
      </c>
      <c r="E272">
        <v>1.2014757565243599E-2</v>
      </c>
      <c r="F272">
        <v>0.1</v>
      </c>
      <c r="G272">
        <v>0.13716241246465</v>
      </c>
      <c r="H272">
        <v>299.27236042759398</v>
      </c>
      <c r="I272">
        <v>299.01834086846901</v>
      </c>
      <c r="J272">
        <v>298.864794117499</v>
      </c>
      <c r="K272">
        <v>299.34115377583203</v>
      </c>
      <c r="L272">
        <v>298.34645085912899</v>
      </c>
      <c r="M272">
        <v>302.563749999999</v>
      </c>
      <c r="N272">
        <v>0.64375000000000004</v>
      </c>
      <c r="O272">
        <v>3325.07435785391</v>
      </c>
      <c r="Q272">
        <v>299.14999999999998</v>
      </c>
      <c r="R272">
        <f t="shared" si="25"/>
        <v>26</v>
      </c>
      <c r="S272">
        <f t="shared" si="26"/>
        <v>26.122360427594003</v>
      </c>
      <c r="T272">
        <f t="shared" si="27"/>
        <v>25.868340868469033</v>
      </c>
      <c r="U272">
        <f t="shared" si="28"/>
        <v>25.714794117499025</v>
      </c>
      <c r="V272">
        <f t="shared" si="29"/>
        <v>26.191153775832049</v>
      </c>
      <c r="W272">
        <f t="shared" si="30"/>
        <v>25.196450859129015</v>
      </c>
      <c r="Y272">
        <v>67.5</v>
      </c>
    </row>
    <row r="273" spans="1:25" x14ac:dyDescent="0.25">
      <c r="A273">
        <v>0</v>
      </c>
      <c r="B273">
        <v>1.6263285435980299E-2</v>
      </c>
      <c r="C273">
        <v>1.5444009243260899E-2</v>
      </c>
      <c r="D273">
        <v>1.6263285435980299E-2</v>
      </c>
      <c r="E273">
        <v>1.20120071892029E-2</v>
      </c>
      <c r="F273">
        <v>0.1</v>
      </c>
      <c r="G273">
        <v>0.13713102515078901</v>
      </c>
      <c r="H273">
        <v>299.31211300016702</v>
      </c>
      <c r="I273">
        <v>299.06228225126802</v>
      </c>
      <c r="J273">
        <v>298.90771917518703</v>
      </c>
      <c r="K273">
        <v>299.37336202946102</v>
      </c>
      <c r="L273">
        <v>298.396566084271</v>
      </c>
      <c r="M273">
        <v>302.647968749999</v>
      </c>
      <c r="N273">
        <v>0.64109375000000002</v>
      </c>
      <c r="O273">
        <v>9595.2291854668001</v>
      </c>
      <c r="Q273">
        <v>299.14999999999998</v>
      </c>
      <c r="R273">
        <f t="shared" si="25"/>
        <v>26</v>
      </c>
      <c r="S273">
        <f t="shared" si="26"/>
        <v>26.162113000167039</v>
      </c>
      <c r="T273">
        <f t="shared" si="27"/>
        <v>25.912282251268039</v>
      </c>
      <c r="U273">
        <f t="shared" si="28"/>
        <v>25.757719175187049</v>
      </c>
      <c r="V273">
        <f t="shared" si="29"/>
        <v>26.223362029461043</v>
      </c>
      <c r="W273">
        <f t="shared" si="30"/>
        <v>25.246566084271024</v>
      </c>
      <c r="Y273">
        <v>67.75</v>
      </c>
    </row>
    <row r="274" spans="1:25" x14ac:dyDescent="0.25">
      <c r="A274">
        <v>0</v>
      </c>
      <c r="B274">
        <v>1.6262699750762302E-2</v>
      </c>
      <c r="C274">
        <v>1.54434530624106E-2</v>
      </c>
      <c r="D274">
        <v>1.6262699750762302E-2</v>
      </c>
      <c r="E274">
        <v>1.2011574604097099E-2</v>
      </c>
      <c r="F274">
        <v>0.1</v>
      </c>
      <c r="G274">
        <v>0.137126104242559</v>
      </c>
      <c r="H274">
        <v>299.32319125110899</v>
      </c>
      <c r="I274">
        <v>299.07684579724997</v>
      </c>
      <c r="J274">
        <v>298.92427919851798</v>
      </c>
      <c r="K274">
        <v>299.379655995848</v>
      </c>
      <c r="L274">
        <v>298.41886265713703</v>
      </c>
      <c r="M274">
        <v>302.54999999999899</v>
      </c>
      <c r="N274">
        <v>0.65</v>
      </c>
      <c r="O274">
        <v>1539.31797930114</v>
      </c>
      <c r="Q274">
        <v>299.14999999999998</v>
      </c>
      <c r="R274">
        <f t="shared" si="25"/>
        <v>30</v>
      </c>
      <c r="S274">
        <f t="shared" si="26"/>
        <v>26.173191251109017</v>
      </c>
      <c r="T274">
        <f t="shared" si="27"/>
        <v>25.926845797249996</v>
      </c>
      <c r="U274">
        <f t="shared" si="28"/>
        <v>25.774279198518002</v>
      </c>
      <c r="V274">
        <f t="shared" si="29"/>
        <v>26.22965599584802</v>
      </c>
      <c r="W274">
        <f t="shared" si="30"/>
        <v>25.268862657137049</v>
      </c>
      <c r="Y274">
        <v>68</v>
      </c>
    </row>
    <row r="275" spans="1:25" x14ac:dyDescent="0.25">
      <c r="A275">
        <v>0</v>
      </c>
      <c r="B275">
        <v>1.07856230067723E-4</v>
      </c>
      <c r="C275">
        <v>1.02422885010921E-4</v>
      </c>
      <c r="D275">
        <v>1.0785623006772401E-4</v>
      </c>
      <c r="E275" s="1">
        <v>7.9662243897383095E-5</v>
      </c>
      <c r="F275">
        <v>0.1</v>
      </c>
      <c r="G275">
        <v>9.0942607202350203E-4</v>
      </c>
      <c r="H275">
        <v>299.40303830938598</v>
      </c>
      <c r="I275">
        <v>299.18102611410097</v>
      </c>
      <c r="J275">
        <v>299.02213555298403</v>
      </c>
      <c r="K275">
        <v>299.46531306557398</v>
      </c>
      <c r="L275">
        <v>298.52746663572202</v>
      </c>
      <c r="M275">
        <v>301.93586348684198</v>
      </c>
      <c r="N275">
        <v>0.67560883620689605</v>
      </c>
      <c r="O275" s="1">
        <v>-5.6840092094574697E-8</v>
      </c>
      <c r="Q275">
        <v>299.14999999999998</v>
      </c>
      <c r="R275">
        <f t="shared" si="25"/>
        <v>30</v>
      </c>
      <c r="S275">
        <f t="shared" si="26"/>
        <v>26.253038309386</v>
      </c>
      <c r="T275">
        <f t="shared" si="27"/>
        <v>26.031026114100996</v>
      </c>
      <c r="U275">
        <f t="shared" si="28"/>
        <v>25.872135552984048</v>
      </c>
      <c r="V275">
        <f t="shared" si="29"/>
        <v>26.315313065574003</v>
      </c>
      <c r="W275">
        <f t="shared" si="30"/>
        <v>25.377466635722044</v>
      </c>
      <c r="Y275">
        <v>68.25</v>
      </c>
    </row>
    <row r="276" spans="1:25" x14ac:dyDescent="0.25">
      <c r="A276">
        <v>0</v>
      </c>
      <c r="B276">
        <v>1.01339792559178E-4</v>
      </c>
      <c r="C276" s="1">
        <v>9.6234718326441204E-5</v>
      </c>
      <c r="D276">
        <v>1.01339792559178E-4</v>
      </c>
      <c r="E276" s="1">
        <v>7.4849225365009695E-5</v>
      </c>
      <c r="F276">
        <v>0.1</v>
      </c>
      <c r="G276">
        <v>8.5447987804294304E-4</v>
      </c>
      <c r="H276">
        <v>299.38842936124303</v>
      </c>
      <c r="I276">
        <v>299.18850504908499</v>
      </c>
      <c r="J276">
        <v>299.03155744317098</v>
      </c>
      <c r="K276">
        <v>299.471319159497</v>
      </c>
      <c r="L276">
        <v>298.54386161893001</v>
      </c>
      <c r="M276">
        <v>300.884802631578</v>
      </c>
      <c r="N276">
        <v>0.71245689655172395</v>
      </c>
      <c r="O276" s="1">
        <v>-5.01791905893227E-8</v>
      </c>
      <c r="Q276">
        <v>299.14999999999998</v>
      </c>
      <c r="R276">
        <f t="shared" si="25"/>
        <v>30</v>
      </c>
      <c r="S276">
        <f t="shared" si="26"/>
        <v>26.23842936124305</v>
      </c>
      <c r="T276">
        <f t="shared" si="27"/>
        <v>26.038505049085018</v>
      </c>
      <c r="U276">
        <f t="shared" si="28"/>
        <v>25.881557443171005</v>
      </c>
      <c r="V276">
        <f t="shared" si="29"/>
        <v>26.321319159497023</v>
      </c>
      <c r="W276">
        <f t="shared" si="30"/>
        <v>25.393861618930032</v>
      </c>
      <c r="Y276">
        <v>68.5</v>
      </c>
    </row>
    <row r="277" spans="1:25" x14ac:dyDescent="0.25">
      <c r="A277">
        <v>0</v>
      </c>
      <c r="B277" s="1">
        <v>9.9724472417106095E-5</v>
      </c>
      <c r="C277" s="1">
        <v>9.4700771246489197E-5</v>
      </c>
      <c r="D277" s="1">
        <v>9.9724472417108805E-5</v>
      </c>
      <c r="E277" s="1">
        <v>7.3656155413936197E-5</v>
      </c>
      <c r="F277">
        <v>0.1</v>
      </c>
      <c r="G277">
        <v>8.4085930265629999E-4</v>
      </c>
      <c r="H277">
        <v>299.363352616795</v>
      </c>
      <c r="I277">
        <v>299.18142648724699</v>
      </c>
      <c r="J277">
        <v>299.02471979177</v>
      </c>
      <c r="K277">
        <v>299.45225881085702</v>
      </c>
      <c r="L277">
        <v>298.54703290432298</v>
      </c>
      <c r="M277">
        <v>299.841340460526</v>
      </c>
      <c r="N277">
        <v>0.75307650862068898</v>
      </c>
      <c r="O277" s="1">
        <v>-4.85922085017591E-8</v>
      </c>
      <c r="Q277">
        <v>299.14999999999998</v>
      </c>
      <c r="R277">
        <f t="shared" si="25"/>
        <v>30</v>
      </c>
      <c r="S277">
        <f t="shared" si="26"/>
        <v>26.213352616795021</v>
      </c>
      <c r="T277">
        <f t="shared" si="27"/>
        <v>26.031426487247018</v>
      </c>
      <c r="U277">
        <f t="shared" si="28"/>
        <v>25.874719791770019</v>
      </c>
      <c r="V277">
        <f t="shared" si="29"/>
        <v>26.30225881085704</v>
      </c>
      <c r="W277">
        <f t="shared" si="30"/>
        <v>25.397032904322998</v>
      </c>
      <c r="Y277">
        <v>68.75</v>
      </c>
    </row>
    <row r="278" spans="1:25" x14ac:dyDescent="0.25">
      <c r="A278">
        <v>0</v>
      </c>
      <c r="B278" s="1">
        <v>9.9962926186613097E-5</v>
      </c>
      <c r="C278" s="1">
        <v>9.49272127139786E-5</v>
      </c>
      <c r="D278" s="1">
        <v>9.9962926186613599E-5</v>
      </c>
      <c r="E278" s="1">
        <v>7.3832276555316293E-5</v>
      </c>
      <c r="F278">
        <v>0.1</v>
      </c>
      <c r="G278">
        <v>8.4286949171857699E-4</v>
      </c>
      <c r="H278">
        <v>299.34481353152597</v>
      </c>
      <c r="I278">
        <v>299.172289489327</v>
      </c>
      <c r="J278">
        <v>299.01602564734702</v>
      </c>
      <c r="K278">
        <v>299.43194895075402</v>
      </c>
      <c r="L278">
        <v>298.54829044852698</v>
      </c>
      <c r="M278">
        <v>299.25</v>
      </c>
      <c r="N278">
        <v>0.79</v>
      </c>
      <c r="O278" s="1">
        <v>-4.88248188418253E-8</v>
      </c>
      <c r="Q278">
        <v>299.14999999999998</v>
      </c>
      <c r="R278">
        <f t="shared" si="25"/>
        <v>30</v>
      </c>
      <c r="S278">
        <f t="shared" si="26"/>
        <v>26.194813531525995</v>
      </c>
      <c r="T278">
        <f t="shared" si="27"/>
        <v>26.022289489327022</v>
      </c>
      <c r="U278">
        <f t="shared" si="28"/>
        <v>25.866025647347044</v>
      </c>
      <c r="V278">
        <f t="shared" si="29"/>
        <v>26.281948950754042</v>
      </c>
      <c r="W278">
        <f t="shared" si="30"/>
        <v>25.398290448527007</v>
      </c>
      <c r="Y278">
        <v>69</v>
      </c>
    </row>
    <row r="279" spans="1:25" x14ac:dyDescent="0.25">
      <c r="A279">
        <v>0</v>
      </c>
      <c r="B279" s="1">
        <v>9.92717619359116E-5</v>
      </c>
      <c r="C279" s="1">
        <v>9.4270866422912694E-5</v>
      </c>
      <c r="D279" s="1">
        <v>9.9271761935911098E-5</v>
      </c>
      <c r="E279" s="1">
        <v>7.3321784995598606E-5</v>
      </c>
      <c r="F279">
        <v>0.1</v>
      </c>
      <c r="G279">
        <v>8.3704134739464697E-4</v>
      </c>
      <c r="H279">
        <v>299.33350627015398</v>
      </c>
      <c r="I279">
        <v>299.16576039500399</v>
      </c>
      <c r="J279">
        <v>299.010661019309</v>
      </c>
      <c r="K279">
        <v>299.41793470332999</v>
      </c>
      <c r="L279">
        <v>298.55138015368499</v>
      </c>
      <c r="M279">
        <v>299.05330442583698</v>
      </c>
      <c r="N279">
        <v>0.82848599137931001</v>
      </c>
      <c r="O279" s="1">
        <v>-4.8151940574605599E-8</v>
      </c>
      <c r="Q279">
        <v>299.14999999999998</v>
      </c>
      <c r="R279">
        <f t="shared" si="25"/>
        <v>30</v>
      </c>
      <c r="S279">
        <f t="shared" si="26"/>
        <v>26.183506270153998</v>
      </c>
      <c r="T279">
        <f t="shared" si="27"/>
        <v>26.015760395004008</v>
      </c>
      <c r="U279">
        <f t="shared" si="28"/>
        <v>25.860661019309021</v>
      </c>
      <c r="V279">
        <f t="shared" si="29"/>
        <v>26.267934703330013</v>
      </c>
      <c r="W279">
        <f t="shared" si="30"/>
        <v>25.401380153685011</v>
      </c>
      <c r="Y279">
        <v>69.25</v>
      </c>
    </row>
    <row r="280" spans="1:25" x14ac:dyDescent="0.25">
      <c r="A280">
        <v>0</v>
      </c>
      <c r="B280">
        <v>1.0084216697454301E-4</v>
      </c>
      <c r="C280" s="1">
        <v>9.5762161034184504E-5</v>
      </c>
      <c r="D280">
        <v>1.0084216697454E-4</v>
      </c>
      <c r="E280" s="1">
        <v>7.4481680804364795E-5</v>
      </c>
      <c r="F280">
        <v>0.1</v>
      </c>
      <c r="G280">
        <v>8.5028238152283096E-4</v>
      </c>
      <c r="H280">
        <v>299.32243295627399</v>
      </c>
      <c r="I280">
        <v>299.16015816706698</v>
      </c>
      <c r="J280">
        <v>299.00685348885099</v>
      </c>
      <c r="K280">
        <v>299.40762881296598</v>
      </c>
      <c r="L280">
        <v>298.55460101613698</v>
      </c>
      <c r="M280">
        <v>298.90091706538999</v>
      </c>
      <c r="N280">
        <v>0.87004310344827496</v>
      </c>
      <c r="O280" s="1">
        <v>-4.9687406879694197E-8</v>
      </c>
      <c r="Q280">
        <v>299.14999999999998</v>
      </c>
      <c r="R280">
        <f t="shared" si="25"/>
        <v>30</v>
      </c>
      <c r="S280">
        <f t="shared" si="26"/>
        <v>26.172432956274008</v>
      </c>
      <c r="T280">
        <f t="shared" si="27"/>
        <v>26.010158167067004</v>
      </c>
      <c r="U280">
        <f t="shared" si="28"/>
        <v>25.856853488851016</v>
      </c>
      <c r="V280">
        <f t="shared" si="29"/>
        <v>26.257628812966004</v>
      </c>
      <c r="W280">
        <f t="shared" si="30"/>
        <v>25.404601016137008</v>
      </c>
      <c r="Y280">
        <v>69.5</v>
      </c>
    </row>
    <row r="281" spans="1:25" x14ac:dyDescent="0.25">
      <c r="A281">
        <v>0</v>
      </c>
      <c r="B281">
        <v>1.05928177743769E-4</v>
      </c>
      <c r="C281">
        <v>1.00591959886359E-4</v>
      </c>
      <c r="D281">
        <v>1.05928177743769E-4</v>
      </c>
      <c r="E281" s="1">
        <v>7.8238191022724296E-5</v>
      </c>
      <c r="F281">
        <v>0.1</v>
      </c>
      <c r="G281">
        <v>8.9316628800338604E-4</v>
      </c>
      <c r="H281">
        <v>299.311282005718</v>
      </c>
      <c r="I281">
        <v>299.15420202290699</v>
      </c>
      <c r="J281">
        <v>299.00303309700502</v>
      </c>
      <c r="K281">
        <v>299.39923268180399</v>
      </c>
      <c r="L281">
        <v>298.55693089273399</v>
      </c>
      <c r="M281">
        <v>298.798071172248</v>
      </c>
      <c r="N281">
        <v>0.90157866379310303</v>
      </c>
      <c r="O281" s="1">
        <v>-5.4825754444956001E-8</v>
      </c>
      <c r="Q281">
        <v>299.14999999999998</v>
      </c>
      <c r="R281">
        <f t="shared" si="25"/>
        <v>30</v>
      </c>
      <c r="S281">
        <f t="shared" si="26"/>
        <v>26.161282005718022</v>
      </c>
      <c r="T281">
        <f t="shared" si="27"/>
        <v>26.004202022907009</v>
      </c>
      <c r="U281">
        <f t="shared" si="28"/>
        <v>25.853033097005039</v>
      </c>
      <c r="V281">
        <f t="shared" si="29"/>
        <v>26.249232681804017</v>
      </c>
      <c r="W281">
        <f t="shared" si="30"/>
        <v>25.40693089273401</v>
      </c>
      <c r="Y281">
        <v>69.75</v>
      </c>
    </row>
    <row r="282" spans="1:25" x14ac:dyDescent="0.25">
      <c r="A282">
        <v>0</v>
      </c>
      <c r="B282">
        <v>1.09536946965257E-4</v>
      </c>
      <c r="C282">
        <v>1.0401893443176101E-4</v>
      </c>
      <c r="D282">
        <v>1.09536946965268E-4</v>
      </c>
      <c r="E282" s="1">
        <v>8.09036156691442E-5</v>
      </c>
      <c r="F282">
        <v>0.1</v>
      </c>
      <c r="G282">
        <v>9.2359424889405101E-4</v>
      </c>
      <c r="H282">
        <v>299.30099607672901</v>
      </c>
      <c r="I282">
        <v>299.14795219060102</v>
      </c>
      <c r="J282">
        <v>298.99912456190299</v>
      </c>
      <c r="K282">
        <v>299.38770461769502</v>
      </c>
      <c r="L282">
        <v>298.55860453736199</v>
      </c>
      <c r="M282">
        <v>298.75</v>
      </c>
      <c r="N282">
        <v>0.91</v>
      </c>
      <c r="O282" s="1">
        <v>-5.8624940028799198E-8</v>
      </c>
      <c r="Q282">
        <v>299.14999999999998</v>
      </c>
      <c r="R282">
        <f t="shared" si="25"/>
        <v>30</v>
      </c>
      <c r="S282">
        <f t="shared" si="26"/>
        <v>26.150996076729029</v>
      </c>
      <c r="T282">
        <f t="shared" si="27"/>
        <v>25.99795219060104</v>
      </c>
      <c r="U282">
        <f t="shared" si="28"/>
        <v>25.849124561903011</v>
      </c>
      <c r="V282">
        <f t="shared" si="29"/>
        <v>26.237704617695044</v>
      </c>
      <c r="W282">
        <f t="shared" si="30"/>
        <v>25.40860453736201</v>
      </c>
      <c r="Y282">
        <v>70</v>
      </c>
    </row>
    <row r="283" spans="1:25" x14ac:dyDescent="0.25">
      <c r="A283">
        <v>0</v>
      </c>
      <c r="B283">
        <v>1.1134507579329E-4</v>
      </c>
      <c r="C283">
        <v>1.05735977303745E-4</v>
      </c>
      <c r="D283">
        <v>1.1134507579329E-4</v>
      </c>
      <c r="E283" s="1">
        <v>8.2239093458469001E-5</v>
      </c>
      <c r="F283">
        <v>0.1</v>
      </c>
      <c r="G283">
        <v>9.3883950979054497E-4</v>
      </c>
      <c r="H283">
        <v>299.29174601378497</v>
      </c>
      <c r="I283">
        <v>299.14163215831002</v>
      </c>
      <c r="J283">
        <v>298.99516311595499</v>
      </c>
      <c r="K283">
        <v>299.37621151050899</v>
      </c>
      <c r="L283">
        <v>298.56032197328699</v>
      </c>
      <c r="M283">
        <v>298.72762784090901</v>
      </c>
      <c r="N283">
        <v>0.90249999999999997</v>
      </c>
      <c r="O283" s="1">
        <v>-6.0576292252375306E-8</v>
      </c>
      <c r="Q283">
        <v>299.14999999999998</v>
      </c>
      <c r="R283">
        <f t="shared" si="25"/>
        <v>30</v>
      </c>
      <c r="S283">
        <f t="shared" si="26"/>
        <v>26.141746013784996</v>
      </c>
      <c r="T283">
        <f t="shared" si="27"/>
        <v>25.99163215831004</v>
      </c>
      <c r="U283">
        <f t="shared" si="28"/>
        <v>25.845163115955017</v>
      </c>
      <c r="V283">
        <f t="shared" si="29"/>
        <v>26.226211510509017</v>
      </c>
      <c r="W283">
        <f t="shared" si="30"/>
        <v>25.410321973287012</v>
      </c>
      <c r="Y283">
        <v>70.25</v>
      </c>
    </row>
    <row r="284" spans="1:25" x14ac:dyDescent="0.25">
      <c r="A284">
        <v>0</v>
      </c>
      <c r="B284">
        <v>1.13042592505314E-4</v>
      </c>
      <c r="C284">
        <v>1.07347980234782E-4</v>
      </c>
      <c r="D284">
        <v>1.13042592505314E-4</v>
      </c>
      <c r="E284" s="1">
        <v>8.3492873515941606E-5</v>
      </c>
      <c r="F284">
        <v>0.1</v>
      </c>
      <c r="G284">
        <v>9.5315209791563E-4</v>
      </c>
      <c r="H284">
        <v>299.28252784565097</v>
      </c>
      <c r="I284">
        <v>299.13509886330399</v>
      </c>
      <c r="J284">
        <v>298.99092754992398</v>
      </c>
      <c r="K284">
        <v>299.36474098710499</v>
      </c>
      <c r="L284">
        <v>298.56171032548798</v>
      </c>
      <c r="M284">
        <v>298.70928030303003</v>
      </c>
      <c r="N284">
        <v>0.89500000000000002</v>
      </c>
      <c r="O284" s="1">
        <v>-6.2437339294078898E-8</v>
      </c>
      <c r="Q284">
        <v>299.14999999999998</v>
      </c>
      <c r="R284">
        <f t="shared" si="25"/>
        <v>30</v>
      </c>
      <c r="S284">
        <f t="shared" si="26"/>
        <v>26.132527845650998</v>
      </c>
      <c r="T284">
        <f t="shared" si="27"/>
        <v>25.985098863304017</v>
      </c>
      <c r="U284">
        <f t="shared" si="28"/>
        <v>25.840927549924004</v>
      </c>
      <c r="V284">
        <f t="shared" si="29"/>
        <v>26.214740987105017</v>
      </c>
      <c r="W284">
        <f t="shared" si="30"/>
        <v>25.411710325488002</v>
      </c>
      <c r="Y284">
        <v>70.5</v>
      </c>
    </row>
    <row r="285" spans="1:25" x14ac:dyDescent="0.25">
      <c r="A285">
        <v>0</v>
      </c>
      <c r="B285">
        <v>1.14579536725563E-4</v>
      </c>
      <c r="C285">
        <v>1.08807499643535E-4</v>
      </c>
      <c r="D285">
        <v>1.14579536725563E-4</v>
      </c>
      <c r="E285" s="1">
        <v>8.4628055278305699E-5</v>
      </c>
      <c r="F285">
        <v>0.1</v>
      </c>
      <c r="G285">
        <v>9.6611076340883003E-4</v>
      </c>
      <c r="H285">
        <v>299.273524246889</v>
      </c>
      <c r="I285">
        <v>299.128446687733</v>
      </c>
      <c r="J285">
        <v>298.98652497776902</v>
      </c>
      <c r="K285">
        <v>299.35337068340499</v>
      </c>
      <c r="L285">
        <v>298.562866328805</v>
      </c>
      <c r="M285">
        <v>298.71129261363598</v>
      </c>
      <c r="N285">
        <v>0.88749999999999996</v>
      </c>
      <c r="O285" s="1">
        <v>-6.4146625195662706E-8</v>
      </c>
      <c r="Q285">
        <v>299.14999999999998</v>
      </c>
      <c r="R285">
        <f t="shared" si="25"/>
        <v>30</v>
      </c>
      <c r="S285">
        <f t="shared" si="26"/>
        <v>26.123524246889019</v>
      </c>
      <c r="T285">
        <f t="shared" si="27"/>
        <v>25.978446687733026</v>
      </c>
      <c r="U285">
        <f t="shared" si="28"/>
        <v>25.836524977769045</v>
      </c>
      <c r="V285">
        <f t="shared" si="29"/>
        <v>26.203370683405012</v>
      </c>
      <c r="W285">
        <f t="shared" si="30"/>
        <v>25.412866328805023</v>
      </c>
      <c r="Y285">
        <v>70.75</v>
      </c>
    </row>
    <row r="286" spans="1:25" x14ac:dyDescent="0.25">
      <c r="A286">
        <v>0</v>
      </c>
      <c r="B286">
        <v>1.15881968930557E-4</v>
      </c>
      <c r="C286">
        <v>1.10044320769981E-4</v>
      </c>
      <c r="D286">
        <v>1.15881968930557E-4</v>
      </c>
      <c r="E286" s="1">
        <v>8.5590027265540397E-5</v>
      </c>
      <c r="F286">
        <v>0.1</v>
      </c>
      <c r="G286">
        <v>9.7709207151933206E-4</v>
      </c>
      <c r="H286">
        <v>299.26528272496199</v>
      </c>
      <c r="I286">
        <v>299.12192767634002</v>
      </c>
      <c r="J286">
        <v>298.98220121573303</v>
      </c>
      <c r="K286">
        <v>299.34233950184699</v>
      </c>
      <c r="L286">
        <v>298.56406347731303</v>
      </c>
      <c r="M286">
        <v>298.75</v>
      </c>
      <c r="N286">
        <v>0.88</v>
      </c>
      <c r="O286" s="1">
        <v>-6.5613159357348206E-8</v>
      </c>
      <c r="Q286">
        <v>299.14999999999998</v>
      </c>
      <c r="R286">
        <f t="shared" si="25"/>
        <v>30</v>
      </c>
      <c r="S286">
        <f t="shared" si="26"/>
        <v>26.115282724962015</v>
      </c>
      <c r="T286">
        <f t="shared" si="27"/>
        <v>25.971927676340044</v>
      </c>
      <c r="U286">
        <f t="shared" si="28"/>
        <v>25.832201215733051</v>
      </c>
      <c r="V286">
        <f t="shared" si="29"/>
        <v>26.192339501847016</v>
      </c>
      <c r="W286">
        <f t="shared" si="30"/>
        <v>25.41406347731305</v>
      </c>
      <c r="Y286">
        <v>71</v>
      </c>
    </row>
    <row r="287" spans="1:25" x14ac:dyDescent="0.25">
      <c r="A287">
        <v>0</v>
      </c>
      <c r="B287">
        <v>1.17103009770078E-4</v>
      </c>
      <c r="C287">
        <v>1.11203850686996E-4</v>
      </c>
      <c r="D287">
        <v>1.17103009770078E-4</v>
      </c>
      <c r="E287" s="1">
        <v>8.6491883867663801E-5</v>
      </c>
      <c r="F287">
        <v>0.1</v>
      </c>
      <c r="G287">
        <v>9.8738711194210093E-4</v>
      </c>
      <c r="H287">
        <v>299.25852666620398</v>
      </c>
      <c r="I287">
        <v>299.11588203999298</v>
      </c>
      <c r="J287">
        <v>298.97821692543698</v>
      </c>
      <c r="K287">
        <v>299.33197185034601</v>
      </c>
      <c r="L287">
        <v>298.56564532707699</v>
      </c>
      <c r="M287">
        <v>298.843394886363</v>
      </c>
      <c r="N287">
        <v>0.87179687500000003</v>
      </c>
      <c r="O287" s="1">
        <v>-6.7003097454962098E-8</v>
      </c>
      <c r="Q287">
        <v>299.14999999999998</v>
      </c>
      <c r="R287">
        <f t="shared" si="25"/>
        <v>30</v>
      </c>
      <c r="S287">
        <f t="shared" si="26"/>
        <v>26.108526666204</v>
      </c>
      <c r="T287">
        <f t="shared" si="27"/>
        <v>25.965882039993005</v>
      </c>
      <c r="U287">
        <f t="shared" si="28"/>
        <v>25.828216925437005</v>
      </c>
      <c r="V287">
        <f t="shared" si="29"/>
        <v>26.181971850346031</v>
      </c>
      <c r="W287">
        <f t="shared" si="30"/>
        <v>25.415645327077016</v>
      </c>
      <c r="Y287">
        <v>71.25</v>
      </c>
    </row>
    <row r="288" spans="1:25" x14ac:dyDescent="0.25">
      <c r="A288">
        <v>0</v>
      </c>
      <c r="B288">
        <v>1.18279534089213E-4</v>
      </c>
      <c r="C288">
        <v>1.12321106639439E-4</v>
      </c>
      <c r="D288">
        <v>1.1827953408921199E-4</v>
      </c>
      <c r="E288" s="1">
        <v>8.7360860719563497E-5</v>
      </c>
      <c r="F288">
        <v>0.1</v>
      </c>
      <c r="G288">
        <v>9.973068053726311E-4</v>
      </c>
      <c r="H288">
        <v>299.253568340404</v>
      </c>
      <c r="I288">
        <v>299.11058147905101</v>
      </c>
      <c r="J288">
        <v>298.97493258100201</v>
      </c>
      <c r="K288">
        <v>299.322501280984</v>
      </c>
      <c r="L288">
        <v>298.56782927719001</v>
      </c>
      <c r="M288">
        <v>298.97821969696901</v>
      </c>
      <c r="N288">
        <v>0.86312500000000003</v>
      </c>
      <c r="O288" s="1">
        <v>-6.8356140959223796E-8</v>
      </c>
      <c r="Q288">
        <v>299.14999999999998</v>
      </c>
      <c r="R288">
        <f t="shared" si="25"/>
        <v>30</v>
      </c>
      <c r="S288">
        <f t="shared" si="26"/>
        <v>26.103568340404024</v>
      </c>
      <c r="T288">
        <f t="shared" si="27"/>
        <v>25.960581479051029</v>
      </c>
      <c r="U288">
        <f t="shared" si="28"/>
        <v>25.824932581002031</v>
      </c>
      <c r="V288">
        <f t="shared" si="29"/>
        <v>26.172501280984022</v>
      </c>
      <c r="W288">
        <f t="shared" si="30"/>
        <v>25.417829277190037</v>
      </c>
      <c r="Y288">
        <v>71.5</v>
      </c>
    </row>
    <row r="289" spans="1:25" x14ac:dyDescent="0.25">
      <c r="A289">
        <v>0</v>
      </c>
      <c r="B289">
        <v>1.1896838276953E-4</v>
      </c>
      <c r="C289">
        <v>1.12975254008853E-4</v>
      </c>
      <c r="D289">
        <v>1.18968382769528E-4</v>
      </c>
      <c r="E289" s="1">
        <v>8.7869642006887399E-5</v>
      </c>
      <c r="F289">
        <v>0.1</v>
      </c>
      <c r="G289">
        <v>1.0031145393570599E-3</v>
      </c>
      <c r="H289">
        <v>299.25011312019399</v>
      </c>
      <c r="I289">
        <v>299.10603445382799</v>
      </c>
      <c r="J289">
        <v>298.97246693877798</v>
      </c>
      <c r="K289">
        <v>299.31391824308002</v>
      </c>
      <c r="L289">
        <v>298.57057683692199</v>
      </c>
      <c r="M289">
        <v>299.12393465909003</v>
      </c>
      <c r="N289">
        <v>0.85539062499999996</v>
      </c>
      <c r="O289" s="1">
        <v>-6.9154591771936698E-8</v>
      </c>
      <c r="Q289">
        <v>299.14999999999998</v>
      </c>
      <c r="R289">
        <f t="shared" si="25"/>
        <v>30</v>
      </c>
      <c r="S289">
        <f t="shared" si="26"/>
        <v>26.10011312019401</v>
      </c>
      <c r="T289">
        <f t="shared" si="27"/>
        <v>25.956034453828011</v>
      </c>
      <c r="U289">
        <f t="shared" si="28"/>
        <v>25.822466938778007</v>
      </c>
      <c r="V289">
        <f t="shared" si="29"/>
        <v>26.163918243080047</v>
      </c>
      <c r="W289">
        <f t="shared" si="30"/>
        <v>25.42057683692201</v>
      </c>
      <c r="Y289">
        <v>71.75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9"/>
  <sheetViews>
    <sheetView tabSelected="1" workbookViewId="0">
      <selection activeCell="P2" sqref="P2"/>
    </sheetView>
  </sheetViews>
  <sheetFormatPr defaultRowHeight="15" x14ac:dyDescent="0.25"/>
  <sheetData>
    <row r="1" spans="1:2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Y1" t="s">
        <v>21</v>
      </c>
    </row>
    <row r="2" spans="1:25" x14ac:dyDescent="0.25">
      <c r="A2">
        <v>0</v>
      </c>
      <c r="B2" s="1">
        <v>2.6900000000000001E-13</v>
      </c>
      <c r="C2" s="1">
        <v>2.5600000000000002E-13</v>
      </c>
      <c r="D2" s="1">
        <v>2.6900000000000001E-13</v>
      </c>
      <c r="E2" s="1">
        <v>1.9900000000000001E-13</v>
      </c>
      <c r="F2">
        <v>-6.9029019999999998E-3</v>
      </c>
      <c r="G2" s="1">
        <v>2.2699999999999998E-12</v>
      </c>
      <c r="H2">
        <v>297.14999999999998</v>
      </c>
      <c r="I2">
        <v>297.14999999999998</v>
      </c>
      <c r="J2">
        <v>297.14999999999998</v>
      </c>
      <c r="K2">
        <v>297.14999999999998</v>
      </c>
      <c r="L2">
        <v>297.77506060000002</v>
      </c>
      <c r="M2">
        <v>294.45</v>
      </c>
      <c r="N2">
        <v>0.66</v>
      </c>
      <c r="O2" s="1">
        <v>-3.5500000000000001E-25</v>
      </c>
      <c r="P2">
        <v>2442.7860000000001</v>
      </c>
      <c r="Q2">
        <v>299.14999999999998</v>
      </c>
      <c r="R2">
        <v>30</v>
      </c>
      <c r="S2">
        <f>H2-273.15</f>
        <v>24</v>
      </c>
      <c r="T2">
        <f t="shared" ref="T2:W2" si="0">I2-273.15</f>
        <v>24</v>
      </c>
      <c r="U2">
        <f t="shared" si="0"/>
        <v>24</v>
      </c>
      <c r="V2">
        <f t="shared" si="0"/>
        <v>24</v>
      </c>
      <c r="W2">
        <f t="shared" si="0"/>
        <v>24.62506060000004</v>
      </c>
      <c r="Y2">
        <v>0</v>
      </c>
    </row>
    <row r="3" spans="1:25" x14ac:dyDescent="0.25">
      <c r="A3">
        <v>0</v>
      </c>
      <c r="B3">
        <v>1.05633E-4</v>
      </c>
      <c r="C3">
        <v>1.00312E-4</v>
      </c>
      <c r="D3">
        <v>1.05633E-4</v>
      </c>
      <c r="E3" s="1">
        <v>7.7999999999999999E-5</v>
      </c>
      <c r="F3">
        <v>-6.8441680000000003E-3</v>
      </c>
      <c r="G3">
        <v>8.90678E-4</v>
      </c>
      <c r="H3">
        <v>296.87031159999998</v>
      </c>
      <c r="I3">
        <v>296.8899672</v>
      </c>
      <c r="J3">
        <v>296.87005870000002</v>
      </c>
      <c r="K3">
        <v>296.84467540000003</v>
      </c>
      <c r="L3">
        <v>297.56750469999997</v>
      </c>
      <c r="M3">
        <v>294.22500000000002</v>
      </c>
      <c r="N3">
        <v>0.70128102000000003</v>
      </c>
      <c r="O3" s="1">
        <v>-5.4499999999999998E-8</v>
      </c>
      <c r="Q3">
        <v>299.14999999999998</v>
      </c>
      <c r="R3">
        <v>30</v>
      </c>
      <c r="S3">
        <f t="shared" ref="S3:S66" si="1">H3-273.15</f>
        <v>23.720311600000002</v>
      </c>
      <c r="T3">
        <f t="shared" ref="T3:T66" si="2">I3-273.15</f>
        <v>23.739967200000024</v>
      </c>
      <c r="U3">
        <f t="shared" ref="U3:U66" si="3">J3-273.15</f>
        <v>23.720058700000038</v>
      </c>
      <c r="V3">
        <f t="shared" ref="V3:V66" si="4">K3-273.15</f>
        <v>23.694675400000051</v>
      </c>
      <c r="W3">
        <f t="shared" ref="W3:W66" si="5">L3-273.15</f>
        <v>24.417504699999995</v>
      </c>
      <c r="Y3">
        <f>Y2+0.25</f>
        <v>0.25</v>
      </c>
    </row>
    <row r="4" spans="1:25" x14ac:dyDescent="0.25">
      <c r="A4">
        <v>0</v>
      </c>
      <c r="B4">
        <v>1.00809E-4</v>
      </c>
      <c r="C4" s="1">
        <v>9.5699999999999995E-5</v>
      </c>
      <c r="D4">
        <v>1.00809E-4</v>
      </c>
      <c r="E4" s="1">
        <v>7.4499999999999995E-5</v>
      </c>
      <c r="F4">
        <v>-6.0222419999999997E-3</v>
      </c>
      <c r="G4">
        <v>8.4999900000000005E-4</v>
      </c>
      <c r="H4">
        <v>296.93172620000001</v>
      </c>
      <c r="I4">
        <v>297.00640779999998</v>
      </c>
      <c r="J4">
        <v>297.0000708</v>
      </c>
      <c r="K4">
        <v>297.00059829999998</v>
      </c>
      <c r="L4">
        <v>297.68019459999999</v>
      </c>
      <c r="M4">
        <v>294</v>
      </c>
      <c r="N4">
        <v>0.76596507400000002</v>
      </c>
      <c r="O4" s="1">
        <v>-4.9700000000000002E-8</v>
      </c>
      <c r="Q4">
        <v>299.14999999999998</v>
      </c>
      <c r="R4">
        <v>30</v>
      </c>
      <c r="S4">
        <f t="shared" si="1"/>
        <v>23.781726200000037</v>
      </c>
      <c r="T4">
        <f t="shared" si="2"/>
        <v>23.856407799999999</v>
      </c>
      <c r="U4">
        <f t="shared" si="3"/>
        <v>23.850070800000026</v>
      </c>
      <c r="V4">
        <f t="shared" si="4"/>
        <v>23.850598300000001</v>
      </c>
      <c r="W4">
        <f t="shared" si="5"/>
        <v>24.530194600000016</v>
      </c>
      <c r="Y4">
        <f t="shared" ref="Y4:Y67" si="6">Y3+0.25</f>
        <v>0.5</v>
      </c>
    </row>
    <row r="5" spans="1:25" x14ac:dyDescent="0.25">
      <c r="A5">
        <v>0</v>
      </c>
      <c r="B5">
        <v>1.01048E-4</v>
      </c>
      <c r="C5" s="1">
        <v>9.6000000000000002E-5</v>
      </c>
      <c r="D5">
        <v>1.01048E-4</v>
      </c>
      <c r="E5" s="1">
        <v>7.4599999999999997E-5</v>
      </c>
      <c r="F5">
        <v>-6.7781259999999998E-3</v>
      </c>
      <c r="G5">
        <v>8.5201600000000004E-4</v>
      </c>
      <c r="H5">
        <v>297.02648019999998</v>
      </c>
      <c r="I5">
        <v>296.97603550000002</v>
      </c>
      <c r="J5">
        <v>297.02912989999999</v>
      </c>
      <c r="K5">
        <v>297.04344429999998</v>
      </c>
      <c r="L5">
        <v>297.73387730000002</v>
      </c>
      <c r="M5">
        <v>293.77499999999998</v>
      </c>
      <c r="N5">
        <v>0.83016659000000004</v>
      </c>
      <c r="O5" s="1">
        <v>-4.9899999999999997E-8</v>
      </c>
      <c r="Q5">
        <v>299.14999999999998</v>
      </c>
      <c r="R5">
        <v>30</v>
      </c>
      <c r="S5">
        <f t="shared" si="1"/>
        <v>23.876480200000003</v>
      </c>
      <c r="T5">
        <f t="shared" si="2"/>
        <v>23.826035500000046</v>
      </c>
      <c r="U5">
        <f t="shared" si="3"/>
        <v>23.879129900000009</v>
      </c>
      <c r="V5">
        <f t="shared" si="4"/>
        <v>23.893444299999999</v>
      </c>
      <c r="W5">
        <f t="shared" si="5"/>
        <v>24.58387730000004</v>
      </c>
      <c r="Y5">
        <f t="shared" si="6"/>
        <v>0.75</v>
      </c>
    </row>
    <row r="6" spans="1:25" x14ac:dyDescent="0.25">
      <c r="A6">
        <v>0</v>
      </c>
      <c r="B6">
        <v>1.0556399999999999E-4</v>
      </c>
      <c r="C6">
        <v>1.00246E-4</v>
      </c>
      <c r="D6">
        <v>1.0556399999999999E-4</v>
      </c>
      <c r="E6" s="1">
        <v>7.7999999999999999E-5</v>
      </c>
      <c r="F6">
        <v>-6.3861509999999996E-3</v>
      </c>
      <c r="G6">
        <v>8.9009400000000002E-4</v>
      </c>
      <c r="H6">
        <v>297.0510165</v>
      </c>
      <c r="I6">
        <v>297.04706549999997</v>
      </c>
      <c r="J6">
        <v>296.96403340000001</v>
      </c>
      <c r="K6">
        <v>297.05889580000002</v>
      </c>
      <c r="L6">
        <v>297.72834499999999</v>
      </c>
      <c r="M6">
        <v>293.55</v>
      </c>
      <c r="N6">
        <v>0.87</v>
      </c>
      <c r="O6" s="1">
        <v>-5.4399999999999997E-8</v>
      </c>
      <c r="Q6">
        <v>299.14999999999998</v>
      </c>
      <c r="R6">
        <v>30</v>
      </c>
      <c r="S6">
        <f t="shared" si="1"/>
        <v>23.901016500000026</v>
      </c>
      <c r="T6">
        <f t="shared" si="2"/>
        <v>23.897065499999997</v>
      </c>
      <c r="U6">
        <f t="shared" si="3"/>
        <v>23.814033400000028</v>
      </c>
      <c r="V6">
        <f t="shared" si="4"/>
        <v>23.908895800000039</v>
      </c>
      <c r="W6">
        <f t="shared" si="5"/>
        <v>24.578345000000013</v>
      </c>
      <c r="Y6">
        <f t="shared" si="6"/>
        <v>1</v>
      </c>
    </row>
    <row r="7" spans="1:25" x14ac:dyDescent="0.25">
      <c r="A7">
        <v>0</v>
      </c>
      <c r="B7">
        <v>1.0217000000000001E-4</v>
      </c>
      <c r="C7" s="1">
        <v>9.7E-5</v>
      </c>
      <c r="D7">
        <v>1.0217000000000001E-4</v>
      </c>
      <c r="E7" s="1">
        <v>7.5500000000000006E-5</v>
      </c>
      <c r="F7">
        <v>-6.5256660000000003E-3</v>
      </c>
      <c r="G7">
        <v>8.6147100000000005E-4</v>
      </c>
      <c r="H7">
        <v>297.05653810000001</v>
      </c>
      <c r="I7">
        <v>297.01695280000001</v>
      </c>
      <c r="J7">
        <v>296.97921639999998</v>
      </c>
      <c r="K7">
        <v>297.06491140000003</v>
      </c>
      <c r="L7">
        <v>297.74341170000002</v>
      </c>
      <c r="M7">
        <v>293.32499999999999</v>
      </c>
      <c r="N7">
        <v>0.88817758400000002</v>
      </c>
      <c r="O7" s="1">
        <v>-5.1E-8</v>
      </c>
      <c r="Q7">
        <v>299.14999999999998</v>
      </c>
      <c r="R7">
        <v>30</v>
      </c>
      <c r="S7">
        <f t="shared" si="1"/>
        <v>23.906538100000034</v>
      </c>
      <c r="T7">
        <f t="shared" si="2"/>
        <v>23.866952800000035</v>
      </c>
      <c r="U7">
        <f t="shared" si="3"/>
        <v>23.829216400000007</v>
      </c>
      <c r="V7">
        <f t="shared" si="4"/>
        <v>23.914911400000051</v>
      </c>
      <c r="W7">
        <f t="shared" si="5"/>
        <v>24.593411700000047</v>
      </c>
      <c r="Y7">
        <f t="shared" si="6"/>
        <v>1.25</v>
      </c>
    </row>
    <row r="8" spans="1:25" x14ac:dyDescent="0.25">
      <c r="A8">
        <v>0</v>
      </c>
      <c r="B8">
        <v>1.0670099999999999E-4</v>
      </c>
      <c r="C8">
        <v>1.01326E-4</v>
      </c>
      <c r="D8">
        <v>1.0670099999999999E-4</v>
      </c>
      <c r="E8" s="1">
        <v>7.8800000000000004E-5</v>
      </c>
      <c r="F8">
        <v>-5.6249259999999997E-3</v>
      </c>
      <c r="G8">
        <v>8.9968100000000005E-4</v>
      </c>
      <c r="H8">
        <v>296.9762331</v>
      </c>
      <c r="I8">
        <v>297.02318650000001</v>
      </c>
      <c r="J8">
        <v>297.0378035</v>
      </c>
      <c r="K8">
        <v>297.05555290000001</v>
      </c>
      <c r="L8">
        <v>297.76754570000003</v>
      </c>
      <c r="M8">
        <v>293.10000000000002</v>
      </c>
      <c r="N8">
        <v>0.903786058</v>
      </c>
      <c r="O8" s="1">
        <v>-5.5600000000000002E-8</v>
      </c>
      <c r="Q8">
        <v>299.14999999999998</v>
      </c>
      <c r="R8">
        <v>30</v>
      </c>
      <c r="S8">
        <f t="shared" si="1"/>
        <v>23.826233100000024</v>
      </c>
      <c r="T8">
        <f t="shared" si="2"/>
        <v>23.873186500000031</v>
      </c>
      <c r="U8">
        <f t="shared" si="3"/>
        <v>23.887803500000018</v>
      </c>
      <c r="V8">
        <f t="shared" si="4"/>
        <v>23.905552900000032</v>
      </c>
      <c r="W8">
        <f t="shared" si="5"/>
        <v>24.617545700000051</v>
      </c>
      <c r="Y8">
        <f t="shared" si="6"/>
        <v>1.5</v>
      </c>
    </row>
    <row r="9" spans="1:25" x14ac:dyDescent="0.25">
      <c r="A9">
        <v>0</v>
      </c>
      <c r="B9">
        <v>1.00276E-4</v>
      </c>
      <c r="C9" s="1">
        <v>9.5199999999999997E-5</v>
      </c>
      <c r="D9">
        <v>1.00276E-4</v>
      </c>
      <c r="E9" s="1">
        <v>7.4099999999999999E-5</v>
      </c>
      <c r="F9">
        <v>-5.7117160000000004E-3</v>
      </c>
      <c r="G9">
        <v>8.4550200000000004E-4</v>
      </c>
      <c r="H9">
        <v>297.0187775</v>
      </c>
      <c r="I9">
        <v>297.04327960000001</v>
      </c>
      <c r="J9">
        <v>297.02497579999999</v>
      </c>
      <c r="K9">
        <v>296.97108279999998</v>
      </c>
      <c r="L9">
        <v>297.7835652</v>
      </c>
      <c r="M9">
        <v>292.875</v>
      </c>
      <c r="N9">
        <v>0.91750150200000002</v>
      </c>
      <c r="O9" s="1">
        <v>-4.9100000000000003E-8</v>
      </c>
      <c r="Q9">
        <v>299.14999999999998</v>
      </c>
      <c r="R9">
        <v>30</v>
      </c>
      <c r="S9">
        <f t="shared" si="1"/>
        <v>23.868777500000022</v>
      </c>
      <c r="T9">
        <f t="shared" si="2"/>
        <v>23.893279600000028</v>
      </c>
      <c r="U9">
        <f t="shared" si="3"/>
        <v>23.874975800000016</v>
      </c>
      <c r="V9">
        <f t="shared" si="4"/>
        <v>23.821082799999999</v>
      </c>
      <c r="W9">
        <f t="shared" si="5"/>
        <v>24.633565200000021</v>
      </c>
      <c r="Y9">
        <f t="shared" si="6"/>
        <v>1.75</v>
      </c>
    </row>
    <row r="10" spans="1:25" x14ac:dyDescent="0.25">
      <c r="A10">
        <v>0</v>
      </c>
      <c r="B10">
        <v>1.06047E-4</v>
      </c>
      <c r="C10">
        <v>1.0070500000000001E-4</v>
      </c>
      <c r="D10">
        <v>1.06047E-4</v>
      </c>
      <c r="E10" s="1">
        <v>7.8300000000000006E-5</v>
      </c>
      <c r="F10">
        <v>-5.8749029999999999E-3</v>
      </c>
      <c r="G10">
        <v>8.9416500000000004E-4</v>
      </c>
      <c r="H10">
        <v>297.02476259999997</v>
      </c>
      <c r="I10">
        <v>297.03389800000002</v>
      </c>
      <c r="J10">
        <v>296.92696280000001</v>
      </c>
      <c r="K10">
        <v>297.02582799999999</v>
      </c>
      <c r="L10">
        <v>297.7375073</v>
      </c>
      <c r="M10">
        <v>292.64999999999998</v>
      </c>
      <c r="N10">
        <v>0.93</v>
      </c>
      <c r="O10" s="1">
        <v>-5.4900000000000002E-8</v>
      </c>
      <c r="Q10">
        <v>299.14999999999998</v>
      </c>
      <c r="R10">
        <v>30</v>
      </c>
      <c r="S10">
        <f t="shared" si="1"/>
        <v>23.874762599999997</v>
      </c>
      <c r="T10">
        <f t="shared" si="2"/>
        <v>23.883898000000045</v>
      </c>
      <c r="U10">
        <f t="shared" si="3"/>
        <v>23.776962800000035</v>
      </c>
      <c r="V10">
        <f t="shared" si="4"/>
        <v>23.875828000000013</v>
      </c>
      <c r="W10">
        <f t="shared" si="5"/>
        <v>24.587507300000027</v>
      </c>
      <c r="Y10">
        <f t="shared" si="6"/>
        <v>2</v>
      </c>
    </row>
    <row r="11" spans="1:25" x14ac:dyDescent="0.25">
      <c r="A11">
        <v>0</v>
      </c>
      <c r="B11">
        <v>1.05425E-4</v>
      </c>
      <c r="C11">
        <v>1.00114E-4</v>
      </c>
      <c r="D11">
        <v>1.05425E-4</v>
      </c>
      <c r="E11" s="1">
        <v>7.7899999999999996E-5</v>
      </c>
      <c r="F11">
        <v>-5.8323000000000003E-3</v>
      </c>
      <c r="G11">
        <v>8.8891999999999997E-4</v>
      </c>
      <c r="H11">
        <v>297.011234</v>
      </c>
      <c r="I11">
        <v>297.01802700000002</v>
      </c>
      <c r="J11">
        <v>296.90351889999999</v>
      </c>
      <c r="K11">
        <v>297.01682160000001</v>
      </c>
      <c r="L11">
        <v>297.72856739999997</v>
      </c>
      <c r="M11">
        <v>292.43640629999999</v>
      </c>
      <c r="N11">
        <v>0.94290865400000001</v>
      </c>
      <c r="O11" s="1">
        <v>-5.4300000000000003E-8</v>
      </c>
      <c r="Q11">
        <v>299.14999999999998</v>
      </c>
      <c r="R11">
        <v>30</v>
      </c>
      <c r="S11">
        <f t="shared" si="1"/>
        <v>23.861234000000024</v>
      </c>
      <c r="T11">
        <f t="shared" si="2"/>
        <v>23.868027000000041</v>
      </c>
      <c r="U11">
        <f t="shared" si="3"/>
        <v>23.753518900000017</v>
      </c>
      <c r="V11">
        <f t="shared" si="4"/>
        <v>23.866821600000037</v>
      </c>
      <c r="W11">
        <f t="shared" si="5"/>
        <v>24.578567399999997</v>
      </c>
      <c r="Y11">
        <f t="shared" si="6"/>
        <v>2.25</v>
      </c>
    </row>
    <row r="12" spans="1:25" x14ac:dyDescent="0.25">
      <c r="A12">
        <v>0</v>
      </c>
      <c r="B12">
        <v>1.0437099999999999E-4</v>
      </c>
      <c r="C12" s="1">
        <v>9.9099999999999996E-5</v>
      </c>
      <c r="D12">
        <v>1.0437099999999999E-4</v>
      </c>
      <c r="E12" s="1">
        <v>7.7100000000000004E-5</v>
      </c>
      <c r="F12">
        <v>-5.7573729999999997E-3</v>
      </c>
      <c r="G12">
        <v>8.8002999999999996E-4</v>
      </c>
      <c r="H12">
        <v>296.99977539999998</v>
      </c>
      <c r="I12">
        <v>297.00692429999998</v>
      </c>
      <c r="J12">
        <v>296.89054620000002</v>
      </c>
      <c r="K12">
        <v>297.0062302</v>
      </c>
      <c r="L12">
        <v>297.7258784</v>
      </c>
      <c r="M12">
        <v>292.23874999999998</v>
      </c>
      <c r="N12">
        <v>0.955641026</v>
      </c>
      <c r="O12" s="1">
        <v>-5.32E-8</v>
      </c>
      <c r="Q12">
        <v>299.14999999999998</v>
      </c>
      <c r="R12">
        <v>30</v>
      </c>
      <c r="S12">
        <f t="shared" si="1"/>
        <v>23.849775399999999</v>
      </c>
      <c r="T12">
        <f t="shared" si="2"/>
        <v>23.856924300000003</v>
      </c>
      <c r="U12">
        <f t="shared" si="3"/>
        <v>23.74054620000004</v>
      </c>
      <c r="V12">
        <f t="shared" si="4"/>
        <v>23.856230200000027</v>
      </c>
      <c r="W12">
        <f t="shared" si="5"/>
        <v>24.575878400000022</v>
      </c>
      <c r="Y12">
        <f t="shared" si="6"/>
        <v>2.5</v>
      </c>
    </row>
    <row r="13" spans="1:25" x14ac:dyDescent="0.25">
      <c r="A13">
        <v>0</v>
      </c>
      <c r="B13">
        <v>1.0321E-4</v>
      </c>
      <c r="C13" s="1">
        <v>9.7999999999999997E-5</v>
      </c>
      <c r="D13">
        <v>1.0321E-4</v>
      </c>
      <c r="E13" s="1">
        <v>7.6199999999999995E-5</v>
      </c>
      <c r="F13">
        <v>-5.6718699999999999E-3</v>
      </c>
      <c r="G13">
        <v>8.7023999999999999E-4</v>
      </c>
      <c r="H13">
        <v>296.9904209</v>
      </c>
      <c r="I13">
        <v>296.9986298</v>
      </c>
      <c r="J13">
        <v>296.88139210000003</v>
      </c>
      <c r="K13">
        <v>296.9978539</v>
      </c>
      <c r="L13">
        <v>297.72492160000002</v>
      </c>
      <c r="M13">
        <v>292.04671869999999</v>
      </c>
      <c r="N13">
        <v>0.96555288500000003</v>
      </c>
      <c r="O13" s="1">
        <v>-5.2000000000000002E-8</v>
      </c>
      <c r="Q13">
        <v>299.14999999999998</v>
      </c>
      <c r="R13">
        <v>30</v>
      </c>
      <c r="S13">
        <f t="shared" si="1"/>
        <v>23.840420900000026</v>
      </c>
      <c r="T13">
        <f t="shared" si="2"/>
        <v>23.848629800000026</v>
      </c>
      <c r="U13">
        <f t="shared" si="3"/>
        <v>23.731392100000051</v>
      </c>
      <c r="V13">
        <f t="shared" si="4"/>
        <v>23.847853900000018</v>
      </c>
      <c r="W13">
        <f t="shared" si="5"/>
        <v>24.574921600000039</v>
      </c>
      <c r="Y13">
        <f t="shared" si="6"/>
        <v>2.75</v>
      </c>
    </row>
    <row r="14" spans="1:25" x14ac:dyDescent="0.25">
      <c r="A14">
        <v>0</v>
      </c>
      <c r="B14">
        <v>1.02075E-4</v>
      </c>
      <c r="C14" s="1">
        <v>9.6899999999999997E-5</v>
      </c>
      <c r="D14">
        <v>1.02075E-4</v>
      </c>
      <c r="E14" s="1">
        <v>7.5400000000000003E-5</v>
      </c>
      <c r="F14">
        <v>-5.5770619999999998E-3</v>
      </c>
      <c r="G14">
        <v>8.60676E-4</v>
      </c>
      <c r="H14">
        <v>296.98241910000002</v>
      </c>
      <c r="I14">
        <v>296.99188450000003</v>
      </c>
      <c r="J14">
        <v>296.87446390000002</v>
      </c>
      <c r="K14">
        <v>296.99086460000001</v>
      </c>
      <c r="L14">
        <v>297.72395920000002</v>
      </c>
      <c r="M14">
        <v>291.85000000000002</v>
      </c>
      <c r="N14">
        <v>0.97</v>
      </c>
      <c r="O14" s="1">
        <v>-5.0899999999999999E-8</v>
      </c>
      <c r="Q14">
        <v>299.14999999999998</v>
      </c>
      <c r="R14">
        <v>30</v>
      </c>
      <c r="S14">
        <f t="shared" si="1"/>
        <v>23.832419100000038</v>
      </c>
      <c r="T14">
        <f t="shared" si="2"/>
        <v>23.841884500000049</v>
      </c>
      <c r="U14">
        <f t="shared" si="3"/>
        <v>23.724463900000046</v>
      </c>
      <c r="V14">
        <f t="shared" si="4"/>
        <v>23.840864600000032</v>
      </c>
      <c r="W14">
        <f t="shared" si="5"/>
        <v>24.573959200000047</v>
      </c>
      <c r="Y14">
        <f t="shared" si="6"/>
        <v>3</v>
      </c>
    </row>
    <row r="15" spans="1:25" x14ac:dyDescent="0.25">
      <c r="A15">
        <v>0</v>
      </c>
      <c r="B15">
        <v>1.0095899999999999E-4</v>
      </c>
      <c r="C15" s="1">
        <v>9.59E-5</v>
      </c>
      <c r="D15">
        <v>1.0095899999999999E-4</v>
      </c>
      <c r="E15" s="1">
        <v>7.4599999999999997E-5</v>
      </c>
      <c r="F15">
        <v>-5.4652349999999997E-3</v>
      </c>
      <c r="G15">
        <v>8.5126600000000005E-4</v>
      </c>
      <c r="H15">
        <v>296.97520509999998</v>
      </c>
      <c r="I15">
        <v>296.98603930000002</v>
      </c>
      <c r="J15">
        <v>296.8691872</v>
      </c>
      <c r="K15">
        <v>296.98467529999999</v>
      </c>
      <c r="L15">
        <v>297.72057710000001</v>
      </c>
      <c r="M15">
        <v>291.63062500000001</v>
      </c>
      <c r="N15">
        <v>0.96159926500000004</v>
      </c>
      <c r="O15" s="1">
        <v>-4.9800000000000003E-8</v>
      </c>
      <c r="Q15">
        <v>299.14999999999998</v>
      </c>
      <c r="R15">
        <v>30</v>
      </c>
      <c r="S15">
        <f t="shared" si="1"/>
        <v>23.825205100000005</v>
      </c>
      <c r="T15">
        <f t="shared" si="2"/>
        <v>23.836039300000039</v>
      </c>
      <c r="U15">
        <f t="shared" si="3"/>
        <v>23.719187200000022</v>
      </c>
      <c r="V15">
        <f t="shared" si="4"/>
        <v>23.834675300000015</v>
      </c>
      <c r="W15">
        <f t="shared" si="5"/>
        <v>24.570577100000037</v>
      </c>
      <c r="Y15">
        <f t="shared" si="6"/>
        <v>3.25</v>
      </c>
    </row>
    <row r="16" spans="1:25" x14ac:dyDescent="0.25">
      <c r="A16">
        <v>0</v>
      </c>
      <c r="B16" s="1">
        <v>1E-4</v>
      </c>
      <c r="C16" s="1">
        <v>9.4900000000000003E-5</v>
      </c>
      <c r="D16" s="1">
        <v>1E-4</v>
      </c>
      <c r="E16" s="1">
        <v>7.3800000000000005E-5</v>
      </c>
      <c r="F16">
        <v>-5.3427830000000003E-3</v>
      </c>
      <c r="G16">
        <v>8.4276900000000005E-4</v>
      </c>
      <c r="H16">
        <v>296.9664439</v>
      </c>
      <c r="I16">
        <v>296.97876059999999</v>
      </c>
      <c r="J16">
        <v>296.86378130000003</v>
      </c>
      <c r="K16">
        <v>296.97698919999999</v>
      </c>
      <c r="L16">
        <v>297.71327530000002</v>
      </c>
      <c r="M16">
        <v>291.39249999999998</v>
      </c>
      <c r="N16">
        <v>0.94093137299999996</v>
      </c>
      <c r="O16" s="1">
        <v>-4.88E-8</v>
      </c>
      <c r="Q16">
        <v>299.14999999999998</v>
      </c>
      <c r="R16">
        <v>30</v>
      </c>
      <c r="S16">
        <f t="shared" si="1"/>
        <v>23.816443900000024</v>
      </c>
      <c r="T16">
        <f t="shared" si="2"/>
        <v>23.82876060000001</v>
      </c>
      <c r="U16">
        <f t="shared" si="3"/>
        <v>23.713781300000051</v>
      </c>
      <c r="V16">
        <f t="shared" si="4"/>
        <v>23.826989200000014</v>
      </c>
      <c r="W16">
        <f t="shared" si="5"/>
        <v>24.563275300000043</v>
      </c>
      <c r="Y16">
        <f t="shared" si="6"/>
        <v>3.5</v>
      </c>
    </row>
    <row r="17" spans="1:25" x14ac:dyDescent="0.25">
      <c r="A17">
        <v>0</v>
      </c>
      <c r="B17" s="1">
        <v>9.9099999999999996E-5</v>
      </c>
      <c r="C17" s="1">
        <v>9.4099999999999997E-5</v>
      </c>
      <c r="D17" s="1">
        <v>9.9099999999999996E-5</v>
      </c>
      <c r="E17" s="1">
        <v>7.3200000000000004E-5</v>
      </c>
      <c r="F17">
        <v>-5.2227369999999999E-3</v>
      </c>
      <c r="G17">
        <v>8.35653E-4</v>
      </c>
      <c r="H17">
        <v>296.95546030000003</v>
      </c>
      <c r="I17">
        <v>296.96932870000001</v>
      </c>
      <c r="J17">
        <v>296.85809999999998</v>
      </c>
      <c r="K17">
        <v>296.96661979999999</v>
      </c>
      <c r="L17">
        <v>297.70424700000001</v>
      </c>
      <c r="M17">
        <v>291.15812499999998</v>
      </c>
      <c r="N17">
        <v>0.917297794</v>
      </c>
      <c r="O17" s="1">
        <v>-4.8E-8</v>
      </c>
      <c r="Q17">
        <v>299.14999999999998</v>
      </c>
      <c r="R17">
        <v>30</v>
      </c>
      <c r="S17">
        <f t="shared" si="1"/>
        <v>23.80546030000005</v>
      </c>
      <c r="T17">
        <f t="shared" si="2"/>
        <v>23.819328700000028</v>
      </c>
      <c r="U17">
        <f t="shared" si="3"/>
        <v>23.708100000000002</v>
      </c>
      <c r="V17">
        <f t="shared" si="4"/>
        <v>23.816619800000012</v>
      </c>
      <c r="W17">
        <f t="shared" si="5"/>
        <v>24.554247000000032</v>
      </c>
      <c r="Y17">
        <f t="shared" si="6"/>
        <v>3.75</v>
      </c>
    </row>
    <row r="18" spans="1:25" x14ac:dyDescent="0.25">
      <c r="A18">
        <v>0</v>
      </c>
      <c r="B18" s="1">
        <v>9.8499999999999995E-5</v>
      </c>
      <c r="C18" s="1">
        <v>9.3499999999999996E-5</v>
      </c>
      <c r="D18" s="1">
        <v>9.8499999999999995E-5</v>
      </c>
      <c r="E18" s="1">
        <v>7.2700000000000005E-5</v>
      </c>
      <c r="F18">
        <v>-5.1168350000000001E-3</v>
      </c>
      <c r="G18">
        <v>8.3020800000000003E-4</v>
      </c>
      <c r="H18">
        <v>296.94341070000002</v>
      </c>
      <c r="I18">
        <v>296.9586013</v>
      </c>
      <c r="J18">
        <v>296.85325749999998</v>
      </c>
      <c r="K18">
        <v>296.94220899999999</v>
      </c>
      <c r="L18">
        <v>297.69732540000001</v>
      </c>
      <c r="M18">
        <v>290.95</v>
      </c>
      <c r="N18">
        <v>0.9</v>
      </c>
      <c r="O18" s="1">
        <v>-4.7400000000000001E-8</v>
      </c>
      <c r="Q18">
        <v>299.14999999999998</v>
      </c>
      <c r="R18">
        <v>30</v>
      </c>
      <c r="S18">
        <f t="shared" si="1"/>
        <v>23.793410700000038</v>
      </c>
      <c r="T18">
        <f t="shared" si="2"/>
        <v>23.808601300000021</v>
      </c>
      <c r="U18">
        <f t="shared" si="3"/>
        <v>23.703257500000007</v>
      </c>
      <c r="V18">
        <f t="shared" si="4"/>
        <v>23.792209000000014</v>
      </c>
      <c r="W18">
        <f t="shared" si="5"/>
        <v>24.547325400000034</v>
      </c>
      <c r="Y18">
        <f t="shared" si="6"/>
        <v>4</v>
      </c>
    </row>
    <row r="19" spans="1:25" x14ac:dyDescent="0.25">
      <c r="A19">
        <v>0</v>
      </c>
      <c r="B19">
        <v>1.01479E-4</v>
      </c>
      <c r="C19" s="1">
        <v>9.6399999999999999E-5</v>
      </c>
      <c r="D19">
        <v>1.01479E-4</v>
      </c>
      <c r="E19" s="1">
        <v>7.4999999999999993E-5</v>
      </c>
      <c r="F19">
        <v>-4.9791180000000003E-3</v>
      </c>
      <c r="G19">
        <v>8.5565200000000004E-4</v>
      </c>
      <c r="H19">
        <v>296.9290646</v>
      </c>
      <c r="I19">
        <v>296.9429202</v>
      </c>
      <c r="J19">
        <v>296.8928884</v>
      </c>
      <c r="K19">
        <v>296.8756717</v>
      </c>
      <c r="L19">
        <v>297.71499240000003</v>
      </c>
      <c r="M19">
        <v>290.83448659999999</v>
      </c>
      <c r="N19">
        <v>0.889389706</v>
      </c>
      <c r="O19" s="1">
        <v>-5.03E-8</v>
      </c>
      <c r="Q19">
        <v>299.14999999999998</v>
      </c>
      <c r="R19">
        <v>30</v>
      </c>
      <c r="S19">
        <f t="shared" si="1"/>
        <v>23.779064600000027</v>
      </c>
      <c r="T19">
        <f t="shared" si="2"/>
        <v>23.792920200000026</v>
      </c>
      <c r="U19">
        <f t="shared" si="3"/>
        <v>23.742888400000027</v>
      </c>
      <c r="V19">
        <f t="shared" si="4"/>
        <v>23.725671700000021</v>
      </c>
      <c r="W19">
        <f t="shared" si="5"/>
        <v>24.564992400000051</v>
      </c>
      <c r="Y19">
        <f t="shared" si="6"/>
        <v>4.25</v>
      </c>
    </row>
    <row r="20" spans="1:25" x14ac:dyDescent="0.25">
      <c r="A20">
        <v>0</v>
      </c>
      <c r="B20">
        <v>1.0045200000000001E-4</v>
      </c>
      <c r="C20" s="1">
        <v>9.5400000000000001E-5</v>
      </c>
      <c r="D20">
        <v>1.0045200000000001E-4</v>
      </c>
      <c r="E20" s="1">
        <v>7.4200000000000001E-5</v>
      </c>
      <c r="F20">
        <v>-4.3711080000000003E-3</v>
      </c>
      <c r="G20">
        <v>8.46987E-4</v>
      </c>
      <c r="H20">
        <v>296.83972310000001</v>
      </c>
      <c r="I20">
        <v>296.93253079999999</v>
      </c>
      <c r="J20">
        <v>296.90938240000003</v>
      </c>
      <c r="K20">
        <v>296.91775130000002</v>
      </c>
      <c r="L20">
        <v>297.69943519999998</v>
      </c>
      <c r="M20">
        <v>290.82946429999998</v>
      </c>
      <c r="N20">
        <v>0.880235294</v>
      </c>
      <c r="O20" s="1">
        <v>-4.9299999999999998E-8</v>
      </c>
      <c r="Q20">
        <v>299.14999999999998</v>
      </c>
      <c r="R20">
        <v>30</v>
      </c>
      <c r="S20">
        <f t="shared" si="1"/>
        <v>23.689723100000037</v>
      </c>
      <c r="T20">
        <f t="shared" si="2"/>
        <v>23.782530800000018</v>
      </c>
      <c r="U20">
        <f t="shared" si="3"/>
        <v>23.75938240000005</v>
      </c>
      <c r="V20">
        <f t="shared" si="4"/>
        <v>23.767751300000043</v>
      </c>
      <c r="W20">
        <f t="shared" si="5"/>
        <v>24.549435200000005</v>
      </c>
      <c r="Y20">
        <f t="shared" si="6"/>
        <v>4.5</v>
      </c>
    </row>
    <row r="21" spans="1:25" x14ac:dyDescent="0.25">
      <c r="A21">
        <v>0</v>
      </c>
      <c r="B21" s="1">
        <v>9.9199999999999999E-5</v>
      </c>
      <c r="C21" s="1">
        <v>9.4199999999999999E-5</v>
      </c>
      <c r="D21" s="1">
        <v>9.9199999999999999E-5</v>
      </c>
      <c r="E21" s="1">
        <v>7.3300000000000006E-5</v>
      </c>
      <c r="F21">
        <v>-5.460973E-3</v>
      </c>
      <c r="G21">
        <v>8.3668000000000002E-4</v>
      </c>
      <c r="H21">
        <v>296.89626700000002</v>
      </c>
      <c r="I21">
        <v>296.8545785</v>
      </c>
      <c r="J21">
        <v>296.89720260000001</v>
      </c>
      <c r="K21">
        <v>296.92257039999998</v>
      </c>
      <c r="L21">
        <v>297.69257049999999</v>
      </c>
      <c r="M21">
        <v>290.8847098</v>
      </c>
      <c r="N21">
        <v>0.873463235</v>
      </c>
      <c r="O21" s="1">
        <v>-4.8100000000000001E-8</v>
      </c>
      <c r="Q21">
        <v>299.14999999999998</v>
      </c>
      <c r="R21">
        <v>30</v>
      </c>
      <c r="S21">
        <f t="shared" si="1"/>
        <v>23.746267000000046</v>
      </c>
      <c r="T21">
        <f t="shared" si="2"/>
        <v>23.704578500000025</v>
      </c>
      <c r="U21">
        <f t="shared" si="3"/>
        <v>23.747202600000037</v>
      </c>
      <c r="V21">
        <f t="shared" si="4"/>
        <v>23.772570400000006</v>
      </c>
      <c r="W21">
        <f t="shared" si="5"/>
        <v>24.542570500000011</v>
      </c>
      <c r="Y21">
        <f t="shared" si="6"/>
        <v>4.75</v>
      </c>
    </row>
    <row r="22" spans="1:25" x14ac:dyDescent="0.25">
      <c r="A22">
        <v>0</v>
      </c>
      <c r="B22">
        <v>1.0070500000000001E-4</v>
      </c>
      <c r="C22" s="1">
        <v>9.5600000000000006E-5</v>
      </c>
      <c r="D22">
        <v>1.0070500000000001E-4</v>
      </c>
      <c r="E22" s="1">
        <v>7.4400000000000006E-5</v>
      </c>
      <c r="F22">
        <v>-5.2154710000000002E-3</v>
      </c>
      <c r="G22">
        <v>8.4912400000000004E-4</v>
      </c>
      <c r="H22">
        <v>296.90222990000001</v>
      </c>
      <c r="I22">
        <v>296.91589620000002</v>
      </c>
      <c r="J22">
        <v>296.8146309</v>
      </c>
      <c r="K22">
        <v>296.9202525</v>
      </c>
      <c r="L22">
        <v>297.65502989999999</v>
      </c>
      <c r="M22">
        <v>290.95</v>
      </c>
      <c r="N22">
        <v>0.87</v>
      </c>
      <c r="O22" s="1">
        <v>-4.9600000000000001E-8</v>
      </c>
      <c r="Q22">
        <v>299.14999999999998</v>
      </c>
      <c r="R22">
        <v>30</v>
      </c>
      <c r="S22">
        <f t="shared" si="1"/>
        <v>23.752229900000032</v>
      </c>
      <c r="T22">
        <f t="shared" si="2"/>
        <v>23.765896200000043</v>
      </c>
      <c r="U22">
        <f t="shared" si="3"/>
        <v>23.66463090000002</v>
      </c>
      <c r="V22">
        <f t="shared" si="4"/>
        <v>23.770252500000026</v>
      </c>
      <c r="W22">
        <f t="shared" si="5"/>
        <v>24.505029900000011</v>
      </c>
      <c r="Y22">
        <f t="shared" si="6"/>
        <v>5</v>
      </c>
    </row>
    <row r="23" spans="1:25" x14ac:dyDescent="0.25">
      <c r="A23">
        <v>0</v>
      </c>
      <c r="B23" s="1">
        <v>9.8400000000000007E-5</v>
      </c>
      <c r="C23" s="1">
        <v>9.3399999999999993E-5</v>
      </c>
      <c r="D23" s="1">
        <v>9.8400000000000007E-5</v>
      </c>
      <c r="E23" s="1">
        <v>7.2600000000000003E-5</v>
      </c>
      <c r="F23">
        <v>-5.3979340000000001E-3</v>
      </c>
      <c r="G23">
        <v>8.2935799999999998E-4</v>
      </c>
      <c r="H23">
        <v>296.90300280000002</v>
      </c>
      <c r="I23">
        <v>296.8926859</v>
      </c>
      <c r="J23">
        <v>296.83849070000002</v>
      </c>
      <c r="K23">
        <v>296.92154379999999</v>
      </c>
      <c r="L23">
        <v>297.6651301</v>
      </c>
      <c r="M23">
        <v>291.00669640000001</v>
      </c>
      <c r="N23">
        <v>0.87343014699999999</v>
      </c>
      <c r="O23" s="1">
        <v>-4.73E-8</v>
      </c>
      <c r="Q23">
        <v>299.14999999999998</v>
      </c>
      <c r="R23">
        <v>30</v>
      </c>
      <c r="S23">
        <f t="shared" si="1"/>
        <v>23.753002800000047</v>
      </c>
      <c r="T23">
        <f t="shared" si="2"/>
        <v>23.742685900000026</v>
      </c>
      <c r="U23">
        <f t="shared" si="3"/>
        <v>23.688490700000045</v>
      </c>
      <c r="V23">
        <f t="shared" si="4"/>
        <v>23.771543800000018</v>
      </c>
      <c r="W23">
        <f t="shared" si="5"/>
        <v>24.515130100000022</v>
      </c>
      <c r="Y23">
        <f t="shared" si="6"/>
        <v>5.25</v>
      </c>
    </row>
    <row r="24" spans="1:25" x14ac:dyDescent="0.25">
      <c r="A24">
        <v>0</v>
      </c>
      <c r="B24" s="1">
        <v>9.8800000000000003E-5</v>
      </c>
      <c r="C24" s="1">
        <v>9.3800000000000003E-5</v>
      </c>
      <c r="D24" s="1">
        <v>9.8800000000000003E-5</v>
      </c>
      <c r="E24" s="1">
        <v>7.2999999999999999E-5</v>
      </c>
      <c r="F24">
        <v>-4.8800120000000004E-3</v>
      </c>
      <c r="G24">
        <v>8.3319100000000005E-4</v>
      </c>
      <c r="H24">
        <v>296.86344500000001</v>
      </c>
      <c r="I24">
        <v>296.91080349999999</v>
      </c>
      <c r="J24">
        <v>296.90251919999997</v>
      </c>
      <c r="K24">
        <v>296.92530310000001</v>
      </c>
      <c r="L24">
        <v>297.69419809999999</v>
      </c>
      <c r="M24">
        <v>291.0892857</v>
      </c>
      <c r="N24">
        <v>0.88314705900000001</v>
      </c>
      <c r="O24" s="1">
        <v>-4.7699999999999997E-8</v>
      </c>
      <c r="Q24">
        <v>299.14999999999998</v>
      </c>
      <c r="R24">
        <v>30</v>
      </c>
      <c r="S24">
        <f t="shared" si="1"/>
        <v>23.713445000000036</v>
      </c>
      <c r="T24">
        <f t="shared" si="2"/>
        <v>23.760803500000009</v>
      </c>
      <c r="U24">
        <f t="shared" si="3"/>
        <v>23.752519199999995</v>
      </c>
      <c r="V24">
        <f t="shared" si="4"/>
        <v>23.775303100000031</v>
      </c>
      <c r="W24">
        <f t="shared" si="5"/>
        <v>24.544198100000017</v>
      </c>
      <c r="Y24">
        <f t="shared" si="6"/>
        <v>5.5</v>
      </c>
    </row>
    <row r="25" spans="1:25" x14ac:dyDescent="0.25">
      <c r="A25">
        <v>0</v>
      </c>
      <c r="B25" s="1">
        <v>9.8400000000000007E-5</v>
      </c>
      <c r="C25" s="1">
        <v>9.3499999999999996E-5</v>
      </c>
      <c r="D25" s="1">
        <v>9.8400000000000007E-5</v>
      </c>
      <c r="E25" s="1">
        <v>7.2700000000000005E-5</v>
      </c>
      <c r="F25">
        <v>-4.8029850000000001E-3</v>
      </c>
      <c r="G25">
        <v>8.3003600000000003E-4</v>
      </c>
      <c r="H25">
        <v>296.90144370000002</v>
      </c>
      <c r="I25">
        <v>296.9614732</v>
      </c>
      <c r="J25">
        <v>296.92066039999997</v>
      </c>
      <c r="K25">
        <v>296.89000099999998</v>
      </c>
      <c r="L25">
        <v>297.71980180000003</v>
      </c>
      <c r="M25">
        <v>291.22723209999998</v>
      </c>
      <c r="N25">
        <v>0.89379044100000005</v>
      </c>
      <c r="O25" s="1">
        <v>-4.73E-8</v>
      </c>
      <c r="Q25">
        <v>299.14999999999998</v>
      </c>
      <c r="R25">
        <v>30</v>
      </c>
      <c r="S25">
        <f t="shared" si="1"/>
        <v>23.751443700000038</v>
      </c>
      <c r="T25">
        <f t="shared" si="2"/>
        <v>23.811473200000023</v>
      </c>
      <c r="U25">
        <f t="shared" si="3"/>
        <v>23.770660399999997</v>
      </c>
      <c r="V25">
        <f t="shared" si="4"/>
        <v>23.740001000000007</v>
      </c>
      <c r="W25">
        <f t="shared" si="5"/>
        <v>24.56980180000005</v>
      </c>
      <c r="Y25">
        <f t="shared" si="6"/>
        <v>5.75</v>
      </c>
    </row>
    <row r="26" spans="1:25" x14ac:dyDescent="0.25">
      <c r="A26">
        <v>0</v>
      </c>
      <c r="B26" s="1">
        <v>9.8599999999999998E-5</v>
      </c>
      <c r="C26" s="1">
        <v>9.3700000000000001E-5</v>
      </c>
      <c r="D26" s="1">
        <v>9.8599999999999998E-5</v>
      </c>
      <c r="E26" s="1">
        <v>7.2899999999999997E-5</v>
      </c>
      <c r="F26">
        <v>-4.7064480000000002E-3</v>
      </c>
      <c r="G26">
        <v>8.3173199999999996E-4</v>
      </c>
      <c r="H26">
        <v>296.93639200000001</v>
      </c>
      <c r="I26">
        <v>297.02786950000001</v>
      </c>
      <c r="J26">
        <v>296.89700210000001</v>
      </c>
      <c r="K26">
        <v>296.94865879999998</v>
      </c>
      <c r="L26">
        <v>297.71780569999999</v>
      </c>
      <c r="M26">
        <v>291.45</v>
      </c>
      <c r="N26">
        <v>0.9</v>
      </c>
      <c r="O26" s="1">
        <v>-4.7500000000000002E-8</v>
      </c>
      <c r="Q26">
        <v>299.14999999999998</v>
      </c>
      <c r="R26">
        <v>30</v>
      </c>
      <c r="S26">
        <f t="shared" si="1"/>
        <v>23.786392000000035</v>
      </c>
      <c r="T26">
        <f t="shared" si="2"/>
        <v>23.877869500000031</v>
      </c>
      <c r="U26">
        <f t="shared" si="3"/>
        <v>23.747002100000032</v>
      </c>
      <c r="V26">
        <f t="shared" si="4"/>
        <v>23.798658799999998</v>
      </c>
      <c r="W26">
        <f t="shared" si="5"/>
        <v>24.567805700000008</v>
      </c>
      <c r="Y26">
        <f t="shared" si="6"/>
        <v>6</v>
      </c>
    </row>
    <row r="27" spans="1:25" x14ac:dyDescent="0.25">
      <c r="A27">
        <v>0</v>
      </c>
      <c r="B27">
        <v>1.0055700000000001E-4</v>
      </c>
      <c r="C27" s="1">
        <v>9.5500000000000004E-5</v>
      </c>
      <c r="D27">
        <v>1.0055700000000001E-4</v>
      </c>
      <c r="E27" s="1">
        <v>7.4300000000000004E-5</v>
      </c>
      <c r="F27">
        <v>-4.1338030000000001E-3</v>
      </c>
      <c r="G27">
        <v>8.4787199999999995E-4</v>
      </c>
      <c r="H27">
        <v>296.95901029999999</v>
      </c>
      <c r="I27">
        <v>297.141167</v>
      </c>
      <c r="J27">
        <v>296.90570020000001</v>
      </c>
      <c r="K27">
        <v>296.97439070000001</v>
      </c>
      <c r="L27">
        <v>297.73361640000002</v>
      </c>
      <c r="M27">
        <v>291.7740809</v>
      </c>
      <c r="N27">
        <v>0.90077205900000001</v>
      </c>
      <c r="O27" s="1">
        <v>-4.9399999999999999E-8</v>
      </c>
      <c r="Q27">
        <v>299.14999999999998</v>
      </c>
      <c r="R27">
        <v>30</v>
      </c>
      <c r="S27">
        <f t="shared" si="1"/>
        <v>23.809010300000011</v>
      </c>
      <c r="T27">
        <f t="shared" si="2"/>
        <v>23.991167000000019</v>
      </c>
      <c r="U27">
        <f t="shared" si="3"/>
        <v>23.755700200000035</v>
      </c>
      <c r="V27">
        <f t="shared" si="4"/>
        <v>23.824390700000038</v>
      </c>
      <c r="W27">
        <f t="shared" si="5"/>
        <v>24.583616400000039</v>
      </c>
      <c r="Y27">
        <f t="shared" si="6"/>
        <v>6.25</v>
      </c>
    </row>
    <row r="28" spans="1:25" x14ac:dyDescent="0.25">
      <c r="A28">
        <v>0</v>
      </c>
      <c r="B28">
        <v>1.02005E-4</v>
      </c>
      <c r="C28" s="1">
        <v>9.6899999999999997E-5</v>
      </c>
      <c r="D28">
        <v>1.02005E-4</v>
      </c>
      <c r="E28" s="1">
        <v>7.5300000000000001E-5</v>
      </c>
      <c r="F28">
        <v>-3.43261E-3</v>
      </c>
      <c r="G28">
        <v>8.6008500000000002E-4</v>
      </c>
      <c r="H28">
        <v>296.98191400000002</v>
      </c>
      <c r="I28">
        <v>297.27167129999998</v>
      </c>
      <c r="J28">
        <v>296.93593989999999</v>
      </c>
      <c r="K28">
        <v>297.01186489999998</v>
      </c>
      <c r="L28">
        <v>297.75964199999999</v>
      </c>
      <c r="M28">
        <v>292.18088239999997</v>
      </c>
      <c r="N28">
        <v>0.89735294099999996</v>
      </c>
      <c r="O28" s="1">
        <v>-5.0799999999999998E-8</v>
      </c>
      <c r="Q28">
        <v>299.14999999999998</v>
      </c>
      <c r="R28">
        <v>30</v>
      </c>
      <c r="S28">
        <f t="shared" si="1"/>
        <v>23.83191400000004</v>
      </c>
      <c r="T28">
        <f t="shared" si="2"/>
        <v>24.121671300000003</v>
      </c>
      <c r="U28">
        <f t="shared" si="3"/>
        <v>23.785939900000017</v>
      </c>
      <c r="V28">
        <f t="shared" si="4"/>
        <v>23.8618649</v>
      </c>
      <c r="W28">
        <f t="shared" si="5"/>
        <v>24.609642000000008</v>
      </c>
      <c r="Y28">
        <f t="shared" si="6"/>
        <v>6.5</v>
      </c>
    </row>
    <row r="29" spans="1:25" x14ac:dyDescent="0.25">
      <c r="A29">
        <v>0</v>
      </c>
      <c r="B29">
        <v>1.03607E-4</v>
      </c>
      <c r="C29" s="1">
        <v>9.8400000000000007E-5</v>
      </c>
      <c r="D29">
        <v>1.03607E-4</v>
      </c>
      <c r="E29" s="1">
        <v>7.6500000000000003E-5</v>
      </c>
      <c r="F29">
        <v>-3.070377E-3</v>
      </c>
      <c r="G29">
        <v>8.7359500000000001E-4</v>
      </c>
      <c r="H29">
        <v>297.01051690000003</v>
      </c>
      <c r="I29">
        <v>297.36571789999999</v>
      </c>
      <c r="J29">
        <v>296.97712250000001</v>
      </c>
      <c r="K29">
        <v>297.06492400000002</v>
      </c>
      <c r="L29">
        <v>297.78487030000002</v>
      </c>
      <c r="M29">
        <v>292.64724260000003</v>
      </c>
      <c r="N29">
        <v>0.88775735300000003</v>
      </c>
      <c r="O29" s="1">
        <v>-5.2399999999999999E-8</v>
      </c>
      <c r="Q29">
        <v>299.14999999999998</v>
      </c>
      <c r="R29">
        <v>30</v>
      </c>
      <c r="S29">
        <f t="shared" si="1"/>
        <v>23.86051690000005</v>
      </c>
      <c r="T29">
        <f t="shared" si="2"/>
        <v>24.215717900000016</v>
      </c>
      <c r="U29">
        <f t="shared" si="3"/>
        <v>23.82712250000003</v>
      </c>
      <c r="V29">
        <f t="shared" si="4"/>
        <v>23.914924000000042</v>
      </c>
      <c r="W29">
        <f t="shared" si="5"/>
        <v>24.634870300000046</v>
      </c>
      <c r="Y29">
        <f t="shared" si="6"/>
        <v>6.75</v>
      </c>
    </row>
    <row r="30" spans="1:25" x14ac:dyDescent="0.25">
      <c r="A30">
        <v>0</v>
      </c>
      <c r="B30">
        <v>1.0083599999999999E-4</v>
      </c>
      <c r="C30" s="1">
        <v>9.5799999999999998E-5</v>
      </c>
      <c r="D30">
        <v>1.0083599999999999E-4</v>
      </c>
      <c r="E30" s="1">
        <v>7.4499999999999995E-5</v>
      </c>
      <c r="F30">
        <v>-2.9274330000000001E-3</v>
      </c>
      <c r="G30">
        <v>8.5022699999999995E-4</v>
      </c>
      <c r="H30">
        <v>297.05361119999998</v>
      </c>
      <c r="I30">
        <v>297.44689629999999</v>
      </c>
      <c r="J30">
        <v>297.03256909999999</v>
      </c>
      <c r="K30">
        <v>297.12524860000002</v>
      </c>
      <c r="L30">
        <v>297.81574690000002</v>
      </c>
      <c r="M30">
        <v>293.14999999999998</v>
      </c>
      <c r="N30">
        <v>0.87</v>
      </c>
      <c r="O30" s="1">
        <v>-4.9700000000000002E-8</v>
      </c>
      <c r="Q30">
        <v>299.14999999999998</v>
      </c>
      <c r="R30">
        <v>26</v>
      </c>
      <c r="S30">
        <f t="shared" si="1"/>
        <v>23.9036112</v>
      </c>
      <c r="T30">
        <f t="shared" si="2"/>
        <v>24.296896300000014</v>
      </c>
      <c r="U30">
        <f t="shared" si="3"/>
        <v>23.882569100000012</v>
      </c>
      <c r="V30">
        <f t="shared" si="4"/>
        <v>23.975248600000043</v>
      </c>
      <c r="W30">
        <f t="shared" si="5"/>
        <v>24.665746900000045</v>
      </c>
      <c r="Y30">
        <f t="shared" si="6"/>
        <v>7</v>
      </c>
    </row>
    <row r="31" spans="1:25" x14ac:dyDescent="0.25">
      <c r="A31">
        <v>0</v>
      </c>
      <c r="B31">
        <v>5.1661841999999999E-2</v>
      </c>
      <c r="C31">
        <v>5.1574409000000002E-2</v>
      </c>
      <c r="D31">
        <v>5.1661841999999999E-2</v>
      </c>
      <c r="E31">
        <v>4.1222881000000003E-2</v>
      </c>
      <c r="F31">
        <v>0.189074359</v>
      </c>
      <c r="G31">
        <v>0.43406709399999999</v>
      </c>
      <c r="H31">
        <v>296.9137159</v>
      </c>
      <c r="I31">
        <v>297.23793949999998</v>
      </c>
      <c r="J31">
        <v>296.92947850000002</v>
      </c>
      <c r="K31">
        <v>296.89459900000003</v>
      </c>
      <c r="L31">
        <v>297.79345949999998</v>
      </c>
      <c r="M31">
        <v>293.7027574</v>
      </c>
      <c r="N31">
        <v>0.84041992200000004</v>
      </c>
      <c r="O31">
        <v>1492.171382</v>
      </c>
      <c r="Q31">
        <v>299.14999999999998</v>
      </c>
      <c r="R31">
        <v>26</v>
      </c>
      <c r="S31">
        <f t="shared" si="1"/>
        <v>23.763715900000022</v>
      </c>
      <c r="T31">
        <f t="shared" si="2"/>
        <v>24.087939500000005</v>
      </c>
      <c r="U31">
        <f t="shared" si="3"/>
        <v>23.779478500000039</v>
      </c>
      <c r="V31">
        <f t="shared" si="4"/>
        <v>23.744599000000051</v>
      </c>
      <c r="W31">
        <f t="shared" si="5"/>
        <v>24.643459500000006</v>
      </c>
      <c r="Y31">
        <f t="shared" si="6"/>
        <v>7.25</v>
      </c>
    </row>
    <row r="32" spans="1:25" x14ac:dyDescent="0.25">
      <c r="A32">
        <v>0</v>
      </c>
      <c r="B32">
        <v>5.1064039999999998E-2</v>
      </c>
      <c r="C32">
        <v>5.1006720999999998E-2</v>
      </c>
      <c r="D32">
        <v>5.1064039999999998E-2</v>
      </c>
      <c r="E32">
        <v>4.0781348000000002E-2</v>
      </c>
      <c r="F32">
        <v>0.18722691399999999</v>
      </c>
      <c r="G32">
        <v>0.42902549400000001</v>
      </c>
      <c r="H32">
        <v>296.88759370000002</v>
      </c>
      <c r="I32">
        <v>297.24840030000001</v>
      </c>
      <c r="J32">
        <v>296.9190016</v>
      </c>
      <c r="K32">
        <v>296.88829320000002</v>
      </c>
      <c r="L32">
        <v>297.76045269999997</v>
      </c>
      <c r="M32">
        <v>294.29411759999999</v>
      </c>
      <c r="N32">
        <v>0.80195312500000004</v>
      </c>
      <c r="O32">
        <v>1567.29801</v>
      </c>
      <c r="Q32">
        <v>299.14999999999998</v>
      </c>
      <c r="R32">
        <v>26</v>
      </c>
      <c r="S32">
        <f t="shared" si="1"/>
        <v>23.737593700000048</v>
      </c>
      <c r="T32">
        <f t="shared" si="2"/>
        <v>24.098400300000037</v>
      </c>
      <c r="U32">
        <f t="shared" si="3"/>
        <v>23.769001600000024</v>
      </c>
      <c r="V32">
        <f t="shared" si="4"/>
        <v>23.738293200000044</v>
      </c>
      <c r="W32">
        <f t="shared" si="5"/>
        <v>24.610452699999996</v>
      </c>
      <c r="Y32">
        <f t="shared" si="6"/>
        <v>7.5</v>
      </c>
    </row>
    <row r="33" spans="1:25" x14ac:dyDescent="0.25">
      <c r="A33">
        <v>0</v>
      </c>
      <c r="B33">
        <v>5.0925217000000002E-2</v>
      </c>
      <c r="C33">
        <v>5.0874893999999997E-2</v>
      </c>
      <c r="D33">
        <v>5.0925217000000002E-2</v>
      </c>
      <c r="E33">
        <v>4.0678816999999999E-2</v>
      </c>
      <c r="F33">
        <v>0.18656436500000001</v>
      </c>
      <c r="G33">
        <v>0.42785422000000001</v>
      </c>
      <c r="H33">
        <v>296.94315060000002</v>
      </c>
      <c r="I33">
        <v>297.29445950000002</v>
      </c>
      <c r="J33">
        <v>296.95452840000002</v>
      </c>
      <c r="K33">
        <v>296.91643829999998</v>
      </c>
      <c r="L33">
        <v>297.77254970000001</v>
      </c>
      <c r="M33">
        <v>294.86341909999999</v>
      </c>
      <c r="N33">
        <v>0.76250976599999998</v>
      </c>
      <c r="O33">
        <v>3704.675941</v>
      </c>
      <c r="Q33">
        <v>299.14999999999998</v>
      </c>
      <c r="R33">
        <v>26</v>
      </c>
      <c r="S33">
        <f t="shared" si="1"/>
        <v>23.793150600000047</v>
      </c>
      <c r="T33">
        <f t="shared" si="2"/>
        <v>24.144459500000039</v>
      </c>
      <c r="U33">
        <f t="shared" si="3"/>
        <v>23.804528400000038</v>
      </c>
      <c r="V33">
        <f t="shared" si="4"/>
        <v>23.766438300000004</v>
      </c>
      <c r="W33">
        <f t="shared" si="5"/>
        <v>24.622549700000036</v>
      </c>
      <c r="Y33">
        <f t="shared" si="6"/>
        <v>7.75</v>
      </c>
    </row>
    <row r="34" spans="1:25" x14ac:dyDescent="0.25">
      <c r="A34">
        <v>0</v>
      </c>
      <c r="B34">
        <v>5.0890022E-2</v>
      </c>
      <c r="C34">
        <v>5.0841468000000001E-2</v>
      </c>
      <c r="D34">
        <v>5.0890022E-2</v>
      </c>
      <c r="E34">
        <v>4.0652818E-2</v>
      </c>
      <c r="F34">
        <v>0.18656862699999999</v>
      </c>
      <c r="G34">
        <v>0.427558039</v>
      </c>
      <c r="H34">
        <v>296.98334569999997</v>
      </c>
      <c r="I34">
        <v>297.3716392</v>
      </c>
      <c r="J34">
        <v>296.9798361</v>
      </c>
      <c r="K34">
        <v>296.93378289999998</v>
      </c>
      <c r="L34">
        <v>297.7838352</v>
      </c>
      <c r="M34">
        <v>295.35000000000002</v>
      </c>
      <c r="N34">
        <v>0.73</v>
      </c>
      <c r="O34">
        <v>8052.753909</v>
      </c>
      <c r="Q34">
        <v>299.14999999999998</v>
      </c>
      <c r="R34">
        <v>26</v>
      </c>
      <c r="S34">
        <f t="shared" si="1"/>
        <v>23.833345699999995</v>
      </c>
      <c r="T34">
        <f t="shared" si="2"/>
        <v>24.221639200000027</v>
      </c>
      <c r="U34">
        <f t="shared" si="3"/>
        <v>23.829836100000023</v>
      </c>
      <c r="V34">
        <f t="shared" si="4"/>
        <v>23.783782900000006</v>
      </c>
      <c r="W34">
        <f t="shared" si="5"/>
        <v>24.633835200000021</v>
      </c>
      <c r="Y34">
        <f t="shared" si="6"/>
        <v>8</v>
      </c>
    </row>
    <row r="35" spans="1:25" x14ac:dyDescent="0.25">
      <c r="A35">
        <v>0</v>
      </c>
      <c r="B35">
        <v>5.0881948000000003E-2</v>
      </c>
      <c r="C35">
        <v>5.0833798999999999E-2</v>
      </c>
      <c r="D35">
        <v>5.0881948000000003E-2</v>
      </c>
      <c r="E35">
        <v>4.0646852999999997E-2</v>
      </c>
      <c r="F35">
        <v>0.18670995300000001</v>
      </c>
      <c r="G35">
        <v>0.427490113</v>
      </c>
      <c r="H35">
        <v>297.15864959999999</v>
      </c>
      <c r="I35">
        <v>297.54149000000001</v>
      </c>
      <c r="J35">
        <v>297.1443759</v>
      </c>
      <c r="K35">
        <v>297.08900749999998</v>
      </c>
      <c r="L35">
        <v>297.9052964</v>
      </c>
      <c r="M35">
        <v>295.77499999999998</v>
      </c>
      <c r="N35">
        <v>0.70362862699999995</v>
      </c>
      <c r="O35">
        <v>3557.2142429999999</v>
      </c>
      <c r="Q35">
        <v>299.14999999999998</v>
      </c>
      <c r="R35">
        <v>26</v>
      </c>
      <c r="S35">
        <f t="shared" si="1"/>
        <v>24.008649600000012</v>
      </c>
      <c r="T35">
        <f t="shared" si="2"/>
        <v>24.391490000000033</v>
      </c>
      <c r="U35">
        <f t="shared" si="3"/>
        <v>23.994375900000023</v>
      </c>
      <c r="V35">
        <f t="shared" si="4"/>
        <v>23.939007500000002</v>
      </c>
      <c r="W35">
        <f t="shared" si="5"/>
        <v>24.75529640000002</v>
      </c>
      <c r="Y35">
        <f t="shared" si="6"/>
        <v>8.25</v>
      </c>
    </row>
    <row r="36" spans="1:25" x14ac:dyDescent="0.25">
      <c r="A36">
        <v>0</v>
      </c>
      <c r="B36">
        <v>5.0881625999999999E-2</v>
      </c>
      <c r="C36">
        <v>5.0833494E-2</v>
      </c>
      <c r="D36">
        <v>5.0881625999999999E-2</v>
      </c>
      <c r="E36">
        <v>4.0646616000000003E-2</v>
      </c>
      <c r="F36">
        <v>0.187136575</v>
      </c>
      <c r="G36">
        <v>0.42748729099999999</v>
      </c>
      <c r="H36">
        <v>297.47296490000002</v>
      </c>
      <c r="I36">
        <v>297.83450110000001</v>
      </c>
      <c r="J36">
        <v>297.46000309999999</v>
      </c>
      <c r="K36">
        <v>297.39290449999999</v>
      </c>
      <c r="L36">
        <v>298.14449780000001</v>
      </c>
      <c r="M36">
        <v>296.2</v>
      </c>
      <c r="N36">
        <v>0.67858258900000001</v>
      </c>
      <c r="O36">
        <v>1479.5269740000001</v>
      </c>
      <c r="Q36">
        <v>299.14999999999998</v>
      </c>
      <c r="R36">
        <v>26</v>
      </c>
      <c r="S36">
        <f t="shared" si="1"/>
        <v>24.322964900000045</v>
      </c>
      <c r="T36">
        <f t="shared" si="2"/>
        <v>24.684501100000034</v>
      </c>
      <c r="U36">
        <f t="shared" si="3"/>
        <v>24.310003100000017</v>
      </c>
      <c r="V36">
        <f t="shared" si="4"/>
        <v>24.242904500000009</v>
      </c>
      <c r="W36">
        <f t="shared" si="5"/>
        <v>24.994497800000033</v>
      </c>
      <c r="Y36">
        <f t="shared" si="6"/>
        <v>8.5</v>
      </c>
    </row>
    <row r="37" spans="1:25" x14ac:dyDescent="0.25">
      <c r="A37">
        <v>0</v>
      </c>
      <c r="B37">
        <v>5.0885081999999998E-2</v>
      </c>
      <c r="C37">
        <v>5.0836777E-2</v>
      </c>
      <c r="D37">
        <v>5.0885081999999998E-2</v>
      </c>
      <c r="E37">
        <v>4.0649167E-2</v>
      </c>
      <c r="F37">
        <v>0.18770239699999999</v>
      </c>
      <c r="G37">
        <v>0.42751610800000001</v>
      </c>
      <c r="H37">
        <v>297.8068791</v>
      </c>
      <c r="I37">
        <v>298.16038700000001</v>
      </c>
      <c r="J37">
        <v>297.78166499999998</v>
      </c>
      <c r="K37">
        <v>297.70654580000001</v>
      </c>
      <c r="L37">
        <v>298.39538320000003</v>
      </c>
      <c r="M37">
        <v>296.625</v>
      </c>
      <c r="N37">
        <v>0.65674525699999997</v>
      </c>
      <c r="O37">
        <v>1479.6514850000001</v>
      </c>
      <c r="Q37">
        <v>299.14999999999998</v>
      </c>
      <c r="R37">
        <v>26</v>
      </c>
      <c r="S37">
        <f t="shared" si="1"/>
        <v>24.656879100000026</v>
      </c>
      <c r="T37">
        <f t="shared" si="2"/>
        <v>25.010387000000037</v>
      </c>
      <c r="U37">
        <f t="shared" si="3"/>
        <v>24.631664999999998</v>
      </c>
      <c r="V37">
        <f t="shared" si="4"/>
        <v>24.556545800000038</v>
      </c>
      <c r="W37">
        <f t="shared" si="5"/>
        <v>25.245383200000049</v>
      </c>
      <c r="Y37">
        <f t="shared" si="6"/>
        <v>8.75</v>
      </c>
    </row>
    <row r="38" spans="1:25" x14ac:dyDescent="0.25">
      <c r="A38">
        <v>0</v>
      </c>
      <c r="B38">
        <v>5.0888451000000001E-2</v>
      </c>
      <c r="C38">
        <v>5.0839979E-2</v>
      </c>
      <c r="D38">
        <v>5.0888451000000001E-2</v>
      </c>
      <c r="E38">
        <v>4.0651658E-2</v>
      </c>
      <c r="F38">
        <v>0.18855771499999999</v>
      </c>
      <c r="G38">
        <v>0.42754416499999998</v>
      </c>
      <c r="H38">
        <v>298.1178165</v>
      </c>
      <c r="I38">
        <v>298.51206789999998</v>
      </c>
      <c r="J38">
        <v>298.06346009999999</v>
      </c>
      <c r="K38">
        <v>297.99146400000001</v>
      </c>
      <c r="L38">
        <v>298.62603610000002</v>
      </c>
      <c r="M38">
        <v>297.05</v>
      </c>
      <c r="N38">
        <v>0.64</v>
      </c>
      <c r="O38">
        <v>7254.2284950000003</v>
      </c>
      <c r="Q38">
        <v>299.14999999999998</v>
      </c>
      <c r="R38">
        <v>26</v>
      </c>
      <c r="S38">
        <f t="shared" si="1"/>
        <v>24.967816500000026</v>
      </c>
      <c r="T38">
        <f t="shared" si="2"/>
        <v>25.3620679</v>
      </c>
      <c r="U38">
        <f t="shared" si="3"/>
        <v>24.913460100000009</v>
      </c>
      <c r="V38">
        <f t="shared" si="4"/>
        <v>24.84146400000003</v>
      </c>
      <c r="W38">
        <f t="shared" si="5"/>
        <v>25.476036100000044</v>
      </c>
      <c r="Y38">
        <f t="shared" si="6"/>
        <v>9</v>
      </c>
    </row>
    <row r="39" spans="1:25" x14ac:dyDescent="0.25">
      <c r="A39">
        <v>0</v>
      </c>
      <c r="B39">
        <v>5.0890216000000002E-2</v>
      </c>
      <c r="C39">
        <v>5.0841655999999999E-2</v>
      </c>
      <c r="D39">
        <v>5.0890216000000002E-2</v>
      </c>
      <c r="E39">
        <v>4.0652962000000001E-2</v>
      </c>
      <c r="F39">
        <v>0.189047046</v>
      </c>
      <c r="G39">
        <v>0.42755885999999999</v>
      </c>
      <c r="H39">
        <v>298.31809149999998</v>
      </c>
      <c r="I39">
        <v>298.74766360000001</v>
      </c>
      <c r="J39">
        <v>298.22017190000003</v>
      </c>
      <c r="K39">
        <v>298.1483078</v>
      </c>
      <c r="L39">
        <v>298.76021960000003</v>
      </c>
      <c r="M39">
        <v>297.47500000000002</v>
      </c>
      <c r="N39">
        <v>0.62705357100000003</v>
      </c>
      <c r="O39">
        <v>3856.632376</v>
      </c>
      <c r="Q39">
        <v>299.14999999999998</v>
      </c>
      <c r="R39">
        <v>26</v>
      </c>
      <c r="S39">
        <f t="shared" si="1"/>
        <v>25.168091500000003</v>
      </c>
      <c r="T39">
        <f t="shared" si="2"/>
        <v>25.597663600000033</v>
      </c>
      <c r="U39">
        <f t="shared" si="3"/>
        <v>25.070171900000048</v>
      </c>
      <c r="V39">
        <f t="shared" si="4"/>
        <v>24.998307800000021</v>
      </c>
      <c r="W39">
        <f t="shared" si="5"/>
        <v>25.61021960000005</v>
      </c>
      <c r="Y39">
        <f t="shared" si="6"/>
        <v>9.25</v>
      </c>
    </row>
    <row r="40" spans="1:25" x14ac:dyDescent="0.25">
      <c r="A40">
        <v>0</v>
      </c>
      <c r="B40">
        <v>5.0891884999999998E-2</v>
      </c>
      <c r="C40">
        <v>5.0843246000000002E-2</v>
      </c>
      <c r="D40">
        <v>5.0891884999999998E-2</v>
      </c>
      <c r="E40">
        <v>4.0654195999999997E-2</v>
      </c>
      <c r="F40">
        <v>0.18914644799999999</v>
      </c>
      <c r="G40">
        <v>0.42757277399999999</v>
      </c>
      <c r="H40">
        <v>298.45718890000001</v>
      </c>
      <c r="I40">
        <v>298.89512930000001</v>
      </c>
      <c r="J40">
        <v>298.30706190000001</v>
      </c>
      <c r="K40">
        <v>298.2315529</v>
      </c>
      <c r="L40">
        <v>298.8379175</v>
      </c>
      <c r="M40">
        <v>297.89999999999998</v>
      </c>
      <c r="N40">
        <v>0.615714286</v>
      </c>
      <c r="O40">
        <v>1676.0411160000001</v>
      </c>
      <c r="Q40">
        <v>299.14999999999998</v>
      </c>
      <c r="R40">
        <v>26</v>
      </c>
      <c r="S40">
        <f t="shared" si="1"/>
        <v>25.307188900000028</v>
      </c>
      <c r="T40">
        <f t="shared" si="2"/>
        <v>25.745129300000031</v>
      </c>
      <c r="U40">
        <f t="shared" si="3"/>
        <v>25.157061900000031</v>
      </c>
      <c r="V40">
        <f t="shared" si="4"/>
        <v>25.08155290000002</v>
      </c>
      <c r="W40">
        <f t="shared" si="5"/>
        <v>25.687917500000026</v>
      </c>
      <c r="Y40">
        <f t="shared" si="6"/>
        <v>9.5</v>
      </c>
    </row>
    <row r="41" spans="1:25" x14ac:dyDescent="0.25">
      <c r="A41">
        <v>0</v>
      </c>
      <c r="B41">
        <v>5.0892359999999998E-2</v>
      </c>
      <c r="C41">
        <v>5.0843700999999998E-2</v>
      </c>
      <c r="D41">
        <v>5.0892359999999998E-2</v>
      </c>
      <c r="E41">
        <v>4.0654547999999999E-2</v>
      </c>
      <c r="F41">
        <v>0.18908518399999999</v>
      </c>
      <c r="G41">
        <v>0.42757673699999998</v>
      </c>
      <c r="H41">
        <v>298.59776549999998</v>
      </c>
      <c r="I41">
        <v>299.02371149999999</v>
      </c>
      <c r="J41">
        <v>298.39481319999999</v>
      </c>
      <c r="K41">
        <v>298.31980650000003</v>
      </c>
      <c r="L41">
        <v>298.91465770000002</v>
      </c>
      <c r="M41">
        <v>298.32499999999999</v>
      </c>
      <c r="N41">
        <v>0.60651785700000005</v>
      </c>
      <c r="O41">
        <v>1521.0749209999999</v>
      </c>
      <c r="Q41">
        <v>299.14999999999998</v>
      </c>
      <c r="R41">
        <v>26</v>
      </c>
      <c r="S41">
        <f t="shared" si="1"/>
        <v>25.447765500000003</v>
      </c>
      <c r="T41">
        <f t="shared" si="2"/>
        <v>25.873711500000013</v>
      </c>
      <c r="U41">
        <f t="shared" si="3"/>
        <v>25.24481320000001</v>
      </c>
      <c r="V41">
        <f t="shared" si="4"/>
        <v>25.16980650000005</v>
      </c>
      <c r="W41">
        <f t="shared" si="5"/>
        <v>25.764657700000043</v>
      </c>
      <c r="Y41">
        <f t="shared" si="6"/>
        <v>9.75</v>
      </c>
    </row>
    <row r="42" spans="1:25" x14ac:dyDescent="0.25">
      <c r="A42">
        <v>0</v>
      </c>
      <c r="B42">
        <v>5.0892002999999998E-2</v>
      </c>
      <c r="C42">
        <v>5.0843375000000003E-2</v>
      </c>
      <c r="D42">
        <v>5.0891998000000001E-2</v>
      </c>
      <c r="E42">
        <v>4.0654280000000001E-2</v>
      </c>
      <c r="F42">
        <v>0.188893384</v>
      </c>
      <c r="G42">
        <v>0.42757376200000002</v>
      </c>
      <c r="H42">
        <v>298.73934320000001</v>
      </c>
      <c r="I42">
        <v>299.13597859999999</v>
      </c>
      <c r="J42">
        <v>298.4862104</v>
      </c>
      <c r="K42">
        <v>298.41693659999999</v>
      </c>
      <c r="L42">
        <v>298.99212069999999</v>
      </c>
      <c r="M42">
        <v>298.75</v>
      </c>
      <c r="N42">
        <v>0.6</v>
      </c>
      <c r="O42">
        <v>4102.7634580000004</v>
      </c>
      <c r="Q42">
        <v>299.14999999999998</v>
      </c>
      <c r="R42">
        <v>26</v>
      </c>
      <c r="S42">
        <f t="shared" si="1"/>
        <v>25.58934320000003</v>
      </c>
      <c r="T42">
        <f t="shared" si="2"/>
        <v>25.98597860000001</v>
      </c>
      <c r="U42">
        <f t="shared" si="3"/>
        <v>25.336210400000027</v>
      </c>
      <c r="V42">
        <f t="shared" si="4"/>
        <v>25.266936600000008</v>
      </c>
      <c r="W42">
        <f t="shared" si="5"/>
        <v>25.842120700000009</v>
      </c>
      <c r="Y42">
        <f t="shared" si="6"/>
        <v>10</v>
      </c>
    </row>
    <row r="43" spans="1:25" x14ac:dyDescent="0.25">
      <c r="A43">
        <v>0</v>
      </c>
      <c r="B43">
        <v>5.0875554000000003E-2</v>
      </c>
      <c r="C43">
        <v>7.2311470000000003E-2</v>
      </c>
      <c r="D43">
        <v>5.0875539999999997E-2</v>
      </c>
      <c r="E43">
        <v>4.0642123000000002E-2</v>
      </c>
      <c r="F43">
        <v>0.18490041500000001</v>
      </c>
      <c r="G43">
        <v>0.448926084</v>
      </c>
      <c r="H43">
        <v>298.85752889999998</v>
      </c>
      <c r="I43">
        <v>299.15689680000003</v>
      </c>
      <c r="J43">
        <v>298.55903910000001</v>
      </c>
      <c r="K43">
        <v>298.49463659999998</v>
      </c>
      <c r="L43">
        <v>299.05071349999997</v>
      </c>
      <c r="M43">
        <v>299.12471590000001</v>
      </c>
      <c r="N43">
        <v>0.59499999999999997</v>
      </c>
      <c r="O43">
        <v>7433.3328250000004</v>
      </c>
      <c r="Q43">
        <v>299.14999999999998</v>
      </c>
      <c r="R43">
        <v>26</v>
      </c>
      <c r="S43">
        <f t="shared" si="1"/>
        <v>25.7075289</v>
      </c>
      <c r="T43">
        <f t="shared" si="2"/>
        <v>26.00689680000005</v>
      </c>
      <c r="U43">
        <f t="shared" si="3"/>
        <v>25.40903910000003</v>
      </c>
      <c r="V43">
        <f t="shared" si="4"/>
        <v>25.344636600000001</v>
      </c>
      <c r="W43">
        <f t="shared" si="5"/>
        <v>25.900713499999995</v>
      </c>
      <c r="Y43">
        <f t="shared" si="6"/>
        <v>10.25</v>
      </c>
    </row>
    <row r="44" spans="1:25" x14ac:dyDescent="0.25">
      <c r="A44">
        <v>0</v>
      </c>
      <c r="B44">
        <v>5.0852907000000003E-2</v>
      </c>
      <c r="C44">
        <v>0.10959055500000001</v>
      </c>
      <c r="D44">
        <v>5.0852889999999998E-2</v>
      </c>
      <c r="E44">
        <v>4.0625383000000001E-2</v>
      </c>
      <c r="F44">
        <v>0.176872429</v>
      </c>
      <c r="G44">
        <v>0.48605016499999998</v>
      </c>
      <c r="H44">
        <v>298.96136530000001</v>
      </c>
      <c r="I44">
        <v>299.09656910000001</v>
      </c>
      <c r="J44">
        <v>298.61876319999999</v>
      </c>
      <c r="K44">
        <v>298.55602909999999</v>
      </c>
      <c r="L44">
        <v>299.09528180000001</v>
      </c>
      <c r="M44">
        <v>299.41590910000002</v>
      </c>
      <c r="N44">
        <v>0.59</v>
      </c>
      <c r="O44">
        <v>1767.488836</v>
      </c>
      <c r="Q44">
        <v>299.14999999999998</v>
      </c>
      <c r="R44">
        <v>26</v>
      </c>
      <c r="S44">
        <f t="shared" si="1"/>
        <v>25.811365300000034</v>
      </c>
      <c r="T44">
        <f t="shared" si="2"/>
        <v>25.946569100000033</v>
      </c>
      <c r="U44">
        <f t="shared" si="3"/>
        <v>25.468763200000012</v>
      </c>
      <c r="V44">
        <f t="shared" si="4"/>
        <v>25.406029100000012</v>
      </c>
      <c r="W44">
        <f t="shared" si="5"/>
        <v>25.945281800000032</v>
      </c>
      <c r="Y44">
        <f t="shared" si="6"/>
        <v>10.5</v>
      </c>
    </row>
    <row r="45" spans="1:25" x14ac:dyDescent="0.25">
      <c r="A45">
        <v>0</v>
      </c>
      <c r="B45">
        <v>5.0809964999999999E-2</v>
      </c>
      <c r="C45">
        <v>0.121393299</v>
      </c>
      <c r="D45">
        <v>5.0809936E-2</v>
      </c>
      <c r="E45">
        <v>4.0593636000000002E-2</v>
      </c>
      <c r="F45">
        <v>0.217384942</v>
      </c>
      <c r="G45">
        <v>0.55277823299999995</v>
      </c>
      <c r="H45">
        <v>299.05246010000002</v>
      </c>
      <c r="I45">
        <v>299.09447770000003</v>
      </c>
      <c r="J45">
        <v>298.67183840000001</v>
      </c>
      <c r="K45">
        <v>298.60967770000002</v>
      </c>
      <c r="L45">
        <v>299.14760419999999</v>
      </c>
      <c r="M45">
        <v>299.64914770000001</v>
      </c>
      <c r="N45">
        <v>0.58499999999999996</v>
      </c>
      <c r="O45">
        <v>2666.2672670000002</v>
      </c>
      <c r="Q45">
        <v>299.14999999999998</v>
      </c>
      <c r="R45">
        <v>26</v>
      </c>
      <c r="S45">
        <f t="shared" si="1"/>
        <v>25.902460100000042</v>
      </c>
      <c r="T45">
        <f t="shared" si="2"/>
        <v>25.94447770000005</v>
      </c>
      <c r="U45">
        <f t="shared" si="3"/>
        <v>25.521838400000036</v>
      </c>
      <c r="V45">
        <f t="shared" si="4"/>
        <v>25.459677700000043</v>
      </c>
      <c r="W45">
        <f t="shared" si="5"/>
        <v>25.997604200000012</v>
      </c>
      <c r="Y45">
        <f t="shared" si="6"/>
        <v>10.75</v>
      </c>
    </row>
    <row r="46" spans="1:25" x14ac:dyDescent="0.25">
      <c r="A46">
        <v>0</v>
      </c>
      <c r="B46">
        <v>5.1359038000000003E-2</v>
      </c>
      <c r="C46">
        <v>0.123537761</v>
      </c>
      <c r="D46">
        <v>5.0701825999999998E-2</v>
      </c>
      <c r="E46">
        <v>4.0513735000000002E-2</v>
      </c>
      <c r="F46">
        <v>0.334468031</v>
      </c>
      <c r="G46">
        <v>0.69876374600000002</v>
      </c>
      <c r="H46">
        <v>299.0982166</v>
      </c>
      <c r="I46">
        <v>299.06533810000002</v>
      </c>
      <c r="J46">
        <v>298.69382139999999</v>
      </c>
      <c r="K46">
        <v>298.62484260000002</v>
      </c>
      <c r="L46">
        <v>299.18885979999999</v>
      </c>
      <c r="M46">
        <v>299.85000000000002</v>
      </c>
      <c r="N46">
        <v>0.57999999999999996</v>
      </c>
      <c r="O46">
        <v>7634.3348800000003</v>
      </c>
      <c r="Q46">
        <v>299.14999999999998</v>
      </c>
      <c r="R46">
        <v>26</v>
      </c>
      <c r="S46">
        <f t="shared" si="1"/>
        <v>25.948216600000023</v>
      </c>
      <c r="T46">
        <f t="shared" si="2"/>
        <v>25.915338100000042</v>
      </c>
      <c r="U46">
        <f t="shared" si="3"/>
        <v>25.543821400000013</v>
      </c>
      <c r="V46">
        <f t="shared" si="4"/>
        <v>25.474842600000045</v>
      </c>
      <c r="W46">
        <f t="shared" si="5"/>
        <v>26.038859800000012</v>
      </c>
      <c r="Y46">
        <f t="shared" si="6"/>
        <v>11</v>
      </c>
    </row>
    <row r="47" spans="1:25" x14ac:dyDescent="0.25">
      <c r="A47">
        <v>0</v>
      </c>
      <c r="B47">
        <v>8.9821184999999998E-2</v>
      </c>
      <c r="C47">
        <v>0.14123792199999999</v>
      </c>
      <c r="D47">
        <v>5.0567564000000002E-2</v>
      </c>
      <c r="E47">
        <v>4.0414482000000002E-2</v>
      </c>
      <c r="F47">
        <v>0.44699673699999998</v>
      </c>
      <c r="G47">
        <v>0.90444453499999999</v>
      </c>
      <c r="H47">
        <v>299.01725729999998</v>
      </c>
      <c r="I47">
        <v>298.96413569999999</v>
      </c>
      <c r="J47">
        <v>298.68952999999999</v>
      </c>
      <c r="K47">
        <v>298.60844220000001</v>
      </c>
      <c r="L47">
        <v>299.20274690000002</v>
      </c>
      <c r="M47">
        <v>300.02507100000003</v>
      </c>
      <c r="N47">
        <v>0.57499999999999996</v>
      </c>
      <c r="O47">
        <v>7804.5062600000001</v>
      </c>
      <c r="Q47">
        <v>299.14999999999998</v>
      </c>
      <c r="R47">
        <v>26</v>
      </c>
      <c r="S47">
        <f t="shared" si="1"/>
        <v>25.867257300000006</v>
      </c>
      <c r="T47">
        <f t="shared" si="2"/>
        <v>25.814135700000008</v>
      </c>
      <c r="U47">
        <f t="shared" si="3"/>
        <v>25.539530000000013</v>
      </c>
      <c r="V47">
        <f t="shared" si="4"/>
        <v>25.458442200000036</v>
      </c>
      <c r="W47">
        <f t="shared" si="5"/>
        <v>26.052746900000045</v>
      </c>
      <c r="Y47">
        <f t="shared" si="6"/>
        <v>11.25</v>
      </c>
    </row>
    <row r="48" spans="1:25" x14ac:dyDescent="0.25">
      <c r="A48">
        <v>0</v>
      </c>
      <c r="B48">
        <v>0.118874699</v>
      </c>
      <c r="C48">
        <v>0.12640528700000001</v>
      </c>
      <c r="D48">
        <v>5.0558733000000002E-2</v>
      </c>
      <c r="E48">
        <v>4.0407884999999998E-2</v>
      </c>
      <c r="F48">
        <v>0.55479895999999995</v>
      </c>
      <c r="G48">
        <v>1.0559341849999999</v>
      </c>
      <c r="H48">
        <v>298.97417890000003</v>
      </c>
      <c r="I48">
        <v>298.9443038</v>
      </c>
      <c r="J48">
        <v>298.6842853</v>
      </c>
      <c r="K48">
        <v>298.59328049999999</v>
      </c>
      <c r="L48">
        <v>299.2212892</v>
      </c>
      <c r="M48">
        <v>300.16534089999999</v>
      </c>
      <c r="N48">
        <v>0.56999999999999995</v>
      </c>
      <c r="O48">
        <v>9255.2387299999991</v>
      </c>
      <c r="Q48">
        <v>299.14999999999998</v>
      </c>
      <c r="R48">
        <v>26</v>
      </c>
      <c r="S48">
        <f t="shared" si="1"/>
        <v>25.824178900000049</v>
      </c>
      <c r="T48">
        <f t="shared" si="2"/>
        <v>25.794303800000023</v>
      </c>
      <c r="U48">
        <f t="shared" si="3"/>
        <v>25.534285300000022</v>
      </c>
      <c r="V48">
        <f t="shared" si="4"/>
        <v>25.443280500000014</v>
      </c>
      <c r="W48">
        <f t="shared" si="5"/>
        <v>26.071289200000024</v>
      </c>
      <c r="Y48">
        <f t="shared" si="6"/>
        <v>11.5</v>
      </c>
    </row>
    <row r="49" spans="1:25" x14ac:dyDescent="0.25">
      <c r="A49">
        <v>0</v>
      </c>
      <c r="B49">
        <v>0.127008541</v>
      </c>
      <c r="C49">
        <v>0.12370339</v>
      </c>
      <c r="D49">
        <v>5.0404061999999999E-2</v>
      </c>
      <c r="E49">
        <v>4.0293536999999997E-2</v>
      </c>
      <c r="F49">
        <v>0.65532397399999998</v>
      </c>
      <c r="G49">
        <v>1.1786341309999999</v>
      </c>
      <c r="H49">
        <v>298.98334920000002</v>
      </c>
      <c r="I49">
        <v>298.90123629999999</v>
      </c>
      <c r="J49">
        <v>298.6847065</v>
      </c>
      <c r="K49">
        <v>298.58446609999999</v>
      </c>
      <c r="L49">
        <v>299.24140160000002</v>
      </c>
      <c r="M49">
        <v>300.27294030000002</v>
      </c>
      <c r="N49">
        <v>0.56499999999999995</v>
      </c>
      <c r="O49">
        <v>5599.4649099999997</v>
      </c>
      <c r="Q49">
        <v>299.14999999999998</v>
      </c>
      <c r="R49">
        <v>26</v>
      </c>
      <c r="S49">
        <f t="shared" si="1"/>
        <v>25.833349200000043</v>
      </c>
      <c r="T49">
        <f t="shared" si="2"/>
        <v>25.751236300000016</v>
      </c>
      <c r="U49">
        <f t="shared" si="3"/>
        <v>25.534706500000027</v>
      </c>
      <c r="V49">
        <f t="shared" si="4"/>
        <v>25.434466100000009</v>
      </c>
      <c r="W49">
        <f t="shared" si="5"/>
        <v>26.09140160000004</v>
      </c>
      <c r="Y49">
        <f t="shared" si="6"/>
        <v>11.75</v>
      </c>
    </row>
    <row r="50" spans="1:25" x14ac:dyDescent="0.25">
      <c r="A50">
        <v>0</v>
      </c>
      <c r="B50">
        <v>0.16069456600000001</v>
      </c>
      <c r="C50">
        <v>0.14297069700000001</v>
      </c>
      <c r="D50">
        <v>5.1144765000000002E-2</v>
      </c>
      <c r="E50">
        <v>4.0839987000000001E-2</v>
      </c>
      <c r="F50">
        <v>1.300502847</v>
      </c>
      <c r="G50">
        <v>1.953540005</v>
      </c>
      <c r="H50">
        <v>298.81067880000001</v>
      </c>
      <c r="I50">
        <v>298.67555299999998</v>
      </c>
      <c r="J50">
        <v>298.56619710000001</v>
      </c>
      <c r="K50">
        <v>298.42547259999998</v>
      </c>
      <c r="L50">
        <v>299.2797908</v>
      </c>
      <c r="M50">
        <v>300.35000000000002</v>
      </c>
      <c r="N50">
        <v>0.56000000000000005</v>
      </c>
      <c r="O50">
        <v>10857.93951</v>
      </c>
      <c r="Q50">
        <v>299.14999999999998</v>
      </c>
      <c r="R50">
        <v>26</v>
      </c>
      <c r="S50">
        <f t="shared" si="1"/>
        <v>25.660678800000028</v>
      </c>
      <c r="T50">
        <f t="shared" si="2"/>
        <v>25.525553000000002</v>
      </c>
      <c r="U50">
        <f t="shared" si="3"/>
        <v>25.416197100000034</v>
      </c>
      <c r="V50">
        <f t="shared" si="4"/>
        <v>25.275472600000001</v>
      </c>
      <c r="W50">
        <f t="shared" si="5"/>
        <v>26.129790800000023</v>
      </c>
      <c r="Y50">
        <f t="shared" si="6"/>
        <v>12</v>
      </c>
    </row>
    <row r="51" spans="1:25" x14ac:dyDescent="0.25">
      <c r="A51">
        <v>0</v>
      </c>
      <c r="B51">
        <v>9.0789558000000006E-2</v>
      </c>
      <c r="C51">
        <v>5.6358835000000003E-2</v>
      </c>
      <c r="D51">
        <v>5.1969845000000001E-2</v>
      </c>
      <c r="E51">
        <v>4.1449861999999997E-2</v>
      </c>
      <c r="F51">
        <v>0.99514553100000003</v>
      </c>
      <c r="G51">
        <v>1.4445035550000001</v>
      </c>
      <c r="H51">
        <v>298.90428839999998</v>
      </c>
      <c r="I51">
        <v>298.79583830000001</v>
      </c>
      <c r="J51">
        <v>298.4665157</v>
      </c>
      <c r="K51">
        <v>298.34659920000001</v>
      </c>
      <c r="L51">
        <v>299.14793539999999</v>
      </c>
      <c r="M51">
        <v>300.37876419999998</v>
      </c>
      <c r="N51">
        <v>0.55789062499999997</v>
      </c>
      <c r="O51">
        <v>8158.0515029999997</v>
      </c>
      <c r="Q51">
        <v>299.14999999999998</v>
      </c>
      <c r="R51">
        <v>26</v>
      </c>
      <c r="S51">
        <f t="shared" si="1"/>
        <v>25.754288400000007</v>
      </c>
      <c r="T51">
        <f t="shared" si="2"/>
        <v>25.645838300000037</v>
      </c>
      <c r="U51">
        <f t="shared" si="3"/>
        <v>25.316515700000025</v>
      </c>
      <c r="V51">
        <f t="shared" si="4"/>
        <v>25.196599200000037</v>
      </c>
      <c r="W51">
        <f t="shared" si="5"/>
        <v>25.997935400000017</v>
      </c>
      <c r="Y51">
        <f t="shared" si="6"/>
        <v>12.25</v>
      </c>
    </row>
    <row r="52" spans="1:25" x14ac:dyDescent="0.25">
      <c r="A52">
        <v>0</v>
      </c>
      <c r="B52">
        <v>5.0668497E-2</v>
      </c>
      <c r="C52">
        <v>5.0630728999999999E-2</v>
      </c>
      <c r="D52">
        <v>5.0668472999999999E-2</v>
      </c>
      <c r="E52">
        <v>4.0488743000000001E-2</v>
      </c>
      <c r="F52">
        <v>0.964089482</v>
      </c>
      <c r="G52">
        <v>1.3546763610000001</v>
      </c>
      <c r="H52">
        <v>299.03620960000001</v>
      </c>
      <c r="I52">
        <v>298.83015130000001</v>
      </c>
      <c r="J52">
        <v>298.50498579999999</v>
      </c>
      <c r="K52">
        <v>298.39653820000001</v>
      </c>
      <c r="L52">
        <v>299.17258329999999</v>
      </c>
      <c r="M52">
        <v>300.36420450000003</v>
      </c>
      <c r="N52">
        <v>0.55937499999999996</v>
      </c>
      <c r="O52">
        <v>7910.234273</v>
      </c>
      <c r="Q52">
        <v>299.14999999999998</v>
      </c>
      <c r="R52">
        <v>26</v>
      </c>
      <c r="S52">
        <f t="shared" si="1"/>
        <v>25.886209600000029</v>
      </c>
      <c r="T52">
        <f t="shared" si="2"/>
        <v>25.680151300000034</v>
      </c>
      <c r="U52">
        <f t="shared" si="3"/>
        <v>25.354985800000009</v>
      </c>
      <c r="V52">
        <f t="shared" si="4"/>
        <v>25.246538200000032</v>
      </c>
      <c r="W52">
        <f t="shared" si="5"/>
        <v>26.022583300000008</v>
      </c>
      <c r="Y52">
        <f t="shared" si="6"/>
        <v>12.5</v>
      </c>
    </row>
    <row r="53" spans="1:25" x14ac:dyDescent="0.25">
      <c r="A53">
        <v>0</v>
      </c>
      <c r="B53">
        <v>5.0575399E-2</v>
      </c>
      <c r="C53">
        <v>5.0542379999999998E-2</v>
      </c>
      <c r="D53">
        <v>5.0575336999999998E-2</v>
      </c>
      <c r="E53">
        <v>4.0420034000000001E-2</v>
      </c>
      <c r="F53">
        <v>0.86114671300000001</v>
      </c>
      <c r="G53">
        <v>1.240169053</v>
      </c>
      <c r="H53">
        <v>299.16063810000003</v>
      </c>
      <c r="I53">
        <v>298.9274466</v>
      </c>
      <c r="J53">
        <v>298.6132672</v>
      </c>
      <c r="K53">
        <v>298.53140589999998</v>
      </c>
      <c r="L53">
        <v>299.23994479999999</v>
      </c>
      <c r="M53">
        <v>300.3425426</v>
      </c>
      <c r="N53">
        <v>0.56117187499999999</v>
      </c>
      <c r="O53">
        <v>11264.74877</v>
      </c>
      <c r="Q53">
        <v>299.14999999999998</v>
      </c>
      <c r="R53">
        <v>26</v>
      </c>
      <c r="S53">
        <f t="shared" si="1"/>
        <v>26.010638100000051</v>
      </c>
      <c r="T53">
        <f t="shared" si="2"/>
        <v>25.777446600000019</v>
      </c>
      <c r="U53">
        <f t="shared" si="3"/>
        <v>25.463267200000018</v>
      </c>
      <c r="V53">
        <f t="shared" si="4"/>
        <v>25.381405900000004</v>
      </c>
      <c r="W53">
        <f t="shared" si="5"/>
        <v>26.089944800000012</v>
      </c>
      <c r="Y53">
        <f t="shared" si="6"/>
        <v>12.75</v>
      </c>
    </row>
    <row r="54" spans="1:25" x14ac:dyDescent="0.25">
      <c r="A54">
        <v>0</v>
      </c>
      <c r="B54">
        <v>6.5797232999999997E-2</v>
      </c>
      <c r="C54">
        <v>5.0512412999999999E-2</v>
      </c>
      <c r="D54">
        <v>5.0543797000000001E-2</v>
      </c>
      <c r="E54">
        <v>4.0396754999999999E-2</v>
      </c>
      <c r="F54">
        <v>0.82003542299999999</v>
      </c>
      <c r="G54">
        <v>1.2117824129999999</v>
      </c>
      <c r="H54">
        <v>299.2159997</v>
      </c>
      <c r="I54">
        <v>298.99053750000002</v>
      </c>
      <c r="J54">
        <v>298.6927086</v>
      </c>
      <c r="K54">
        <v>298.63610180000001</v>
      </c>
      <c r="L54">
        <v>299.29365760000002</v>
      </c>
      <c r="M54">
        <v>300.35000000000002</v>
      </c>
      <c r="N54">
        <v>0.56000000000000005</v>
      </c>
      <c r="O54">
        <v>10973.57322</v>
      </c>
      <c r="Q54">
        <v>299.14999999999998</v>
      </c>
      <c r="R54">
        <v>26</v>
      </c>
      <c r="S54">
        <f t="shared" si="1"/>
        <v>26.06599970000002</v>
      </c>
      <c r="T54">
        <f t="shared" si="2"/>
        <v>25.840537500000039</v>
      </c>
      <c r="U54">
        <f t="shared" si="3"/>
        <v>25.542708600000026</v>
      </c>
      <c r="V54">
        <f t="shared" si="4"/>
        <v>25.486101800000029</v>
      </c>
      <c r="W54">
        <f t="shared" si="5"/>
        <v>26.14365760000004</v>
      </c>
      <c r="Y54">
        <f t="shared" si="6"/>
        <v>13</v>
      </c>
    </row>
    <row r="55" spans="1:25" x14ac:dyDescent="0.25">
      <c r="A55">
        <v>0</v>
      </c>
      <c r="B55">
        <v>7.9779384999999994E-2</v>
      </c>
      <c r="C55">
        <v>5.0468814000000001E-2</v>
      </c>
      <c r="D55">
        <v>5.0497864000000003E-2</v>
      </c>
      <c r="E55">
        <v>4.0362853999999997E-2</v>
      </c>
      <c r="F55">
        <v>0.77063268900000004</v>
      </c>
      <c r="G55">
        <v>1.172233909</v>
      </c>
      <c r="H55">
        <v>299.4097812</v>
      </c>
      <c r="I55">
        <v>299.1965055</v>
      </c>
      <c r="J55">
        <v>298.93454279999997</v>
      </c>
      <c r="K55">
        <v>298.9020008</v>
      </c>
      <c r="L55">
        <v>299.466701</v>
      </c>
      <c r="M55">
        <v>300.45187700000002</v>
      </c>
      <c r="N55">
        <v>0.55404687500000005</v>
      </c>
      <c r="O55">
        <v>7245.9140450000004</v>
      </c>
      <c r="Q55">
        <v>299.14999999999998</v>
      </c>
      <c r="R55">
        <v>26</v>
      </c>
      <c r="S55">
        <f t="shared" si="1"/>
        <v>26.25978120000002</v>
      </c>
      <c r="T55">
        <f t="shared" si="2"/>
        <v>26.046505500000023</v>
      </c>
      <c r="U55">
        <f t="shared" si="3"/>
        <v>25.784542799999997</v>
      </c>
      <c r="V55">
        <f t="shared" si="4"/>
        <v>25.752000800000019</v>
      </c>
      <c r="W55">
        <f t="shared" si="5"/>
        <v>26.316701000000023</v>
      </c>
      <c r="Y55">
        <f t="shared" si="6"/>
        <v>13.25</v>
      </c>
    </row>
    <row r="56" spans="1:25" x14ac:dyDescent="0.25">
      <c r="A56">
        <v>0</v>
      </c>
      <c r="B56">
        <v>0.153426961</v>
      </c>
      <c r="C56">
        <v>5.1288787000000002E-2</v>
      </c>
      <c r="D56">
        <v>5.0444206999999998E-2</v>
      </c>
      <c r="E56">
        <v>4.0323211999999997E-2</v>
      </c>
      <c r="F56">
        <v>0.70941148300000001</v>
      </c>
      <c r="G56">
        <v>1.189547248</v>
      </c>
      <c r="H56">
        <v>299.33507029999998</v>
      </c>
      <c r="I56">
        <v>299.26226630000002</v>
      </c>
      <c r="J56">
        <v>299.01512350000002</v>
      </c>
      <c r="K56">
        <v>299.0044747</v>
      </c>
      <c r="L56">
        <v>299.5097619</v>
      </c>
      <c r="M56">
        <v>300.6375812</v>
      </c>
      <c r="N56">
        <v>0.54537500000000005</v>
      </c>
      <c r="O56">
        <v>5300.2085770000003</v>
      </c>
      <c r="Q56">
        <v>299.14999999999998</v>
      </c>
      <c r="R56">
        <v>26</v>
      </c>
      <c r="S56">
        <f t="shared" si="1"/>
        <v>26.185070300000007</v>
      </c>
      <c r="T56">
        <f t="shared" si="2"/>
        <v>26.112266300000044</v>
      </c>
      <c r="U56">
        <f t="shared" si="3"/>
        <v>25.865123500000038</v>
      </c>
      <c r="V56">
        <f t="shared" si="4"/>
        <v>25.854474700000026</v>
      </c>
      <c r="W56">
        <f t="shared" si="5"/>
        <v>26.359761900000024</v>
      </c>
      <c r="Y56">
        <f t="shared" si="6"/>
        <v>13.5</v>
      </c>
    </row>
    <row r="57" spans="1:25" x14ac:dyDescent="0.25">
      <c r="A57">
        <v>0</v>
      </c>
      <c r="B57">
        <v>0.27787855299999997</v>
      </c>
      <c r="C57">
        <v>0.120052294</v>
      </c>
      <c r="D57">
        <v>5.2249450000000003E-2</v>
      </c>
      <c r="E57">
        <v>4.1656084000000003E-2</v>
      </c>
      <c r="F57">
        <v>1.0465428080000001</v>
      </c>
      <c r="G57">
        <v>1.787676711</v>
      </c>
      <c r="H57">
        <v>299.0840781</v>
      </c>
      <c r="I57">
        <v>299.0301556</v>
      </c>
      <c r="J57">
        <v>298.97747879999997</v>
      </c>
      <c r="K57">
        <v>298.9656837</v>
      </c>
      <c r="L57">
        <v>299.54959989999998</v>
      </c>
      <c r="M57">
        <v>300.8294947</v>
      </c>
      <c r="N57">
        <v>0.53651562500000005</v>
      </c>
      <c r="O57">
        <v>8901.5650999999998</v>
      </c>
      <c r="Q57">
        <v>299.14999999999998</v>
      </c>
      <c r="R57">
        <v>26</v>
      </c>
      <c r="S57">
        <f t="shared" si="1"/>
        <v>25.934078100000022</v>
      </c>
      <c r="T57">
        <f t="shared" si="2"/>
        <v>25.880155600000023</v>
      </c>
      <c r="U57">
        <f t="shared" si="3"/>
        <v>25.827478799999994</v>
      </c>
      <c r="V57">
        <f t="shared" si="4"/>
        <v>25.815683700000022</v>
      </c>
      <c r="W57">
        <f t="shared" si="5"/>
        <v>26.399599899999998</v>
      </c>
      <c r="Y57">
        <f t="shared" si="6"/>
        <v>13.75</v>
      </c>
    </row>
    <row r="58" spans="1:25" x14ac:dyDescent="0.25">
      <c r="A58">
        <v>0</v>
      </c>
      <c r="B58">
        <v>0.27777255299999998</v>
      </c>
      <c r="C58">
        <v>0.15817890000000001</v>
      </c>
      <c r="D58">
        <v>5.2149742999999998E-2</v>
      </c>
      <c r="E58">
        <v>4.1582198000000001E-2</v>
      </c>
      <c r="F58">
        <v>1.216926167</v>
      </c>
      <c r="G58">
        <v>2.015959016</v>
      </c>
      <c r="H58">
        <v>298.93068620000003</v>
      </c>
      <c r="I58">
        <v>298.77107050000001</v>
      </c>
      <c r="J58">
        <v>298.78570889999997</v>
      </c>
      <c r="K58">
        <v>298.81096669999999</v>
      </c>
      <c r="L58">
        <v>299.43295130000001</v>
      </c>
      <c r="M58">
        <v>300.95</v>
      </c>
      <c r="N58">
        <v>0.53</v>
      </c>
      <c r="O58">
        <v>13622.58562</v>
      </c>
      <c r="Q58">
        <v>299.14999999999998</v>
      </c>
      <c r="R58">
        <v>26</v>
      </c>
      <c r="S58">
        <f t="shared" si="1"/>
        <v>25.780686200000048</v>
      </c>
      <c r="T58">
        <f t="shared" si="2"/>
        <v>25.62107050000003</v>
      </c>
      <c r="U58">
        <f t="shared" si="3"/>
        <v>25.635708899999997</v>
      </c>
      <c r="V58">
        <f t="shared" si="4"/>
        <v>25.660966700000017</v>
      </c>
      <c r="W58">
        <f t="shared" si="5"/>
        <v>26.282951300000036</v>
      </c>
      <c r="Y58">
        <f t="shared" si="6"/>
        <v>14</v>
      </c>
    </row>
    <row r="59" spans="1:25" x14ac:dyDescent="0.25">
      <c r="A59">
        <v>0</v>
      </c>
      <c r="B59">
        <v>0.19392578799999999</v>
      </c>
      <c r="C59">
        <v>8.2629079999999994E-2</v>
      </c>
      <c r="D59">
        <v>5.086413E-2</v>
      </c>
      <c r="E59">
        <v>4.0633004E-2</v>
      </c>
      <c r="F59">
        <v>1.10722053</v>
      </c>
      <c r="G59">
        <v>1.715554335</v>
      </c>
      <c r="H59">
        <v>299.07753760000003</v>
      </c>
      <c r="I59">
        <v>298.92897049999999</v>
      </c>
      <c r="J59">
        <v>298.78933419999998</v>
      </c>
      <c r="K59">
        <v>298.87349319999998</v>
      </c>
      <c r="L59">
        <v>299.40676430000002</v>
      </c>
      <c r="M59">
        <v>300.81127229999998</v>
      </c>
      <c r="N59">
        <v>0.52700000000000002</v>
      </c>
      <c r="O59">
        <v>13653.30233</v>
      </c>
      <c r="Q59">
        <v>299.14999999999998</v>
      </c>
      <c r="R59">
        <v>26</v>
      </c>
      <c r="S59">
        <f t="shared" si="1"/>
        <v>25.927537600000051</v>
      </c>
      <c r="T59">
        <f t="shared" si="2"/>
        <v>25.778970500000014</v>
      </c>
      <c r="U59">
        <f t="shared" si="3"/>
        <v>25.639334200000008</v>
      </c>
      <c r="V59">
        <f t="shared" si="4"/>
        <v>25.723493200000007</v>
      </c>
      <c r="W59">
        <f t="shared" si="5"/>
        <v>26.256764300000043</v>
      </c>
      <c r="Y59">
        <f t="shared" si="6"/>
        <v>14.25</v>
      </c>
    </row>
    <row r="60" spans="1:25" x14ac:dyDescent="0.25">
      <c r="A60">
        <v>0</v>
      </c>
      <c r="B60">
        <v>0.156202646</v>
      </c>
      <c r="C60">
        <v>5.0842895999999999E-2</v>
      </c>
      <c r="D60">
        <v>5.0892092E-2</v>
      </c>
      <c r="E60">
        <v>4.0653660000000001E-2</v>
      </c>
      <c r="F60">
        <v>1.134572481</v>
      </c>
      <c r="G60">
        <v>1.66719452</v>
      </c>
      <c r="H60">
        <v>299.26166069999999</v>
      </c>
      <c r="I60">
        <v>299.12098609999998</v>
      </c>
      <c r="J60">
        <v>298.93071650000002</v>
      </c>
      <c r="K60">
        <v>299.07130380000001</v>
      </c>
      <c r="L60">
        <v>299.52354609999998</v>
      </c>
      <c r="M60">
        <v>300.42946430000001</v>
      </c>
      <c r="N60">
        <v>0.52566666699999998</v>
      </c>
      <c r="O60">
        <v>9545.1502579999997</v>
      </c>
      <c r="Q60">
        <v>299.14999999999998</v>
      </c>
      <c r="R60">
        <v>26</v>
      </c>
      <c r="S60">
        <f t="shared" si="1"/>
        <v>26.111660700000016</v>
      </c>
      <c r="T60">
        <f t="shared" si="2"/>
        <v>25.970986100000005</v>
      </c>
      <c r="U60">
        <f t="shared" si="3"/>
        <v>25.78071650000004</v>
      </c>
      <c r="V60">
        <f t="shared" si="4"/>
        <v>25.921303800000032</v>
      </c>
      <c r="W60">
        <f t="shared" si="5"/>
        <v>26.373546099999999</v>
      </c>
      <c r="Y60">
        <f t="shared" si="6"/>
        <v>14.5</v>
      </c>
    </row>
    <row r="61" spans="1:25" x14ac:dyDescent="0.25">
      <c r="A61">
        <v>0</v>
      </c>
      <c r="B61">
        <v>0.18518638100000001</v>
      </c>
      <c r="C61">
        <v>0.100169064</v>
      </c>
      <c r="D61">
        <v>5.1099490999999997E-2</v>
      </c>
      <c r="E61">
        <v>4.0806637E-2</v>
      </c>
      <c r="F61">
        <v>1.2710205720000001</v>
      </c>
      <c r="G61">
        <v>1.902981968</v>
      </c>
      <c r="H61">
        <v>299.20365779999997</v>
      </c>
      <c r="I61">
        <v>298.99187430000001</v>
      </c>
      <c r="J61">
        <v>298.9259816</v>
      </c>
      <c r="K61">
        <v>299.11192649999998</v>
      </c>
      <c r="L61">
        <v>299.55118950000002</v>
      </c>
      <c r="M61">
        <v>300.0329241</v>
      </c>
      <c r="N61">
        <v>0.52400000000000002</v>
      </c>
      <c r="O61">
        <v>13729.765460000001</v>
      </c>
      <c r="Q61">
        <v>299.14999999999998</v>
      </c>
      <c r="R61">
        <v>26</v>
      </c>
      <c r="S61">
        <f t="shared" si="1"/>
        <v>26.053657799999996</v>
      </c>
      <c r="T61">
        <f t="shared" si="2"/>
        <v>25.841874300000029</v>
      </c>
      <c r="U61">
        <f t="shared" si="3"/>
        <v>25.775981600000023</v>
      </c>
      <c r="V61">
        <f t="shared" si="4"/>
        <v>25.961926500000004</v>
      </c>
      <c r="W61">
        <f t="shared" si="5"/>
        <v>26.401189500000044</v>
      </c>
      <c r="Y61">
        <f t="shared" si="6"/>
        <v>14.75</v>
      </c>
    </row>
    <row r="62" spans="1:25" x14ac:dyDescent="0.25">
      <c r="A62">
        <v>0</v>
      </c>
      <c r="B62">
        <v>0.19849694600000001</v>
      </c>
      <c r="C62">
        <v>0.124933852</v>
      </c>
      <c r="D62">
        <v>5.1413977E-2</v>
      </c>
      <c r="E62">
        <v>7.2157073000000002E-2</v>
      </c>
      <c r="F62">
        <v>1.4316496460000001</v>
      </c>
      <c r="G62">
        <v>2.1842730609999998</v>
      </c>
      <c r="H62">
        <v>299.03708890000001</v>
      </c>
      <c r="I62">
        <v>298.7734092</v>
      </c>
      <c r="J62">
        <v>298.77874869999999</v>
      </c>
      <c r="K62">
        <v>298.944636</v>
      </c>
      <c r="L62">
        <v>299.47772370000001</v>
      </c>
      <c r="M62">
        <v>299.85000000000002</v>
      </c>
      <c r="N62">
        <v>0.52</v>
      </c>
      <c r="O62">
        <v>12062.90898</v>
      </c>
      <c r="Q62">
        <v>299.14999999999998</v>
      </c>
      <c r="R62">
        <v>26</v>
      </c>
      <c r="S62">
        <f t="shared" si="1"/>
        <v>25.887088900000037</v>
      </c>
      <c r="T62">
        <f t="shared" si="2"/>
        <v>25.623409200000026</v>
      </c>
      <c r="U62">
        <f t="shared" si="3"/>
        <v>25.628748700000017</v>
      </c>
      <c r="V62">
        <f t="shared" si="4"/>
        <v>25.794636000000025</v>
      </c>
      <c r="W62">
        <f t="shared" si="5"/>
        <v>26.327723700000035</v>
      </c>
      <c r="Y62">
        <f t="shared" si="6"/>
        <v>15</v>
      </c>
    </row>
    <row r="63" spans="1:25" x14ac:dyDescent="0.25">
      <c r="A63">
        <v>0</v>
      </c>
      <c r="B63">
        <v>0.15603771499999999</v>
      </c>
      <c r="C63">
        <v>5.1028895999999997E-2</v>
      </c>
      <c r="D63">
        <v>5.1088119000000001E-2</v>
      </c>
      <c r="E63">
        <v>6.4827974999999996E-2</v>
      </c>
      <c r="F63">
        <v>1.2575233299999999</v>
      </c>
      <c r="G63">
        <v>1.839734918</v>
      </c>
      <c r="H63">
        <v>299.139633</v>
      </c>
      <c r="I63">
        <v>298.97134779999999</v>
      </c>
      <c r="J63">
        <v>298.80966210000003</v>
      </c>
      <c r="K63">
        <v>299.08488030000001</v>
      </c>
      <c r="L63">
        <v>299.4515528</v>
      </c>
      <c r="M63">
        <v>300.0352431</v>
      </c>
      <c r="N63">
        <v>0.51332031300000003</v>
      </c>
      <c r="O63">
        <v>9413.5641579999992</v>
      </c>
      <c r="Q63">
        <v>299.14999999999998</v>
      </c>
      <c r="R63">
        <v>26</v>
      </c>
      <c r="S63">
        <f t="shared" si="1"/>
        <v>25.989633000000026</v>
      </c>
      <c r="T63">
        <f t="shared" si="2"/>
        <v>25.821347800000012</v>
      </c>
      <c r="U63">
        <f t="shared" si="3"/>
        <v>25.659662100000048</v>
      </c>
      <c r="V63">
        <f t="shared" si="4"/>
        <v>25.934880300000032</v>
      </c>
      <c r="W63">
        <f t="shared" si="5"/>
        <v>26.301552800000024</v>
      </c>
      <c r="Y63">
        <f t="shared" si="6"/>
        <v>15.25</v>
      </c>
    </row>
    <row r="64" spans="1:25" x14ac:dyDescent="0.25">
      <c r="A64">
        <v>0</v>
      </c>
      <c r="B64">
        <v>0.11927679400000001</v>
      </c>
      <c r="C64">
        <v>5.1120003999999997E-2</v>
      </c>
      <c r="D64">
        <v>5.1184061000000003E-2</v>
      </c>
      <c r="E64">
        <v>4.0869274999999997E-2</v>
      </c>
      <c r="F64">
        <v>1.3350085</v>
      </c>
      <c r="G64">
        <v>1.8453730399999999</v>
      </c>
      <c r="H64">
        <v>299.33262999999999</v>
      </c>
      <c r="I64">
        <v>299.11300260000002</v>
      </c>
      <c r="J64">
        <v>298.96312419999998</v>
      </c>
      <c r="K64">
        <v>299.36238800000001</v>
      </c>
      <c r="L64">
        <v>299.56408099999999</v>
      </c>
      <c r="M64">
        <v>300.43564809999998</v>
      </c>
      <c r="N64">
        <v>0.50552083299999995</v>
      </c>
      <c r="O64">
        <v>13155.9566</v>
      </c>
      <c r="Q64">
        <v>299.14999999999998</v>
      </c>
      <c r="R64">
        <v>26</v>
      </c>
      <c r="S64">
        <f t="shared" si="1"/>
        <v>26.182630000000017</v>
      </c>
      <c r="T64">
        <f t="shared" si="2"/>
        <v>25.963002600000038</v>
      </c>
      <c r="U64">
        <f t="shared" si="3"/>
        <v>25.813124200000004</v>
      </c>
      <c r="V64">
        <f t="shared" si="4"/>
        <v>26.212388000000033</v>
      </c>
      <c r="W64">
        <f t="shared" si="5"/>
        <v>26.41408100000001</v>
      </c>
      <c r="Y64">
        <f t="shared" si="6"/>
        <v>15.5</v>
      </c>
    </row>
    <row r="65" spans="1:25" x14ac:dyDescent="0.25">
      <c r="A65">
        <v>0</v>
      </c>
      <c r="B65">
        <v>0.17934067100000001</v>
      </c>
      <c r="C65">
        <v>5.1074121E-2</v>
      </c>
      <c r="D65">
        <v>5.1135803000000001E-2</v>
      </c>
      <c r="E65">
        <v>8.3593665999999997E-2</v>
      </c>
      <c r="F65">
        <v>1.277405721</v>
      </c>
      <c r="G65">
        <v>1.916446941</v>
      </c>
      <c r="H65">
        <v>299.23582370000003</v>
      </c>
      <c r="I65">
        <v>299.12655949999998</v>
      </c>
      <c r="J65">
        <v>298.99019859999999</v>
      </c>
      <c r="K65">
        <v>299.37515050000002</v>
      </c>
      <c r="L65">
        <v>299.57319669999998</v>
      </c>
      <c r="M65">
        <v>300.81822920000002</v>
      </c>
      <c r="N65">
        <v>0.49746093800000002</v>
      </c>
      <c r="O65">
        <v>9633.9919069999996</v>
      </c>
      <c r="Q65">
        <v>299.14999999999998</v>
      </c>
      <c r="R65">
        <v>26</v>
      </c>
      <c r="S65">
        <f t="shared" si="1"/>
        <v>26.085823700000049</v>
      </c>
      <c r="T65">
        <f t="shared" si="2"/>
        <v>25.976559500000008</v>
      </c>
      <c r="U65">
        <f t="shared" si="3"/>
        <v>25.840198600000008</v>
      </c>
      <c r="V65">
        <f t="shared" si="4"/>
        <v>26.225150500000041</v>
      </c>
      <c r="W65">
        <f t="shared" si="5"/>
        <v>26.423196700000005</v>
      </c>
      <c r="Y65">
        <f t="shared" si="6"/>
        <v>15.75</v>
      </c>
    </row>
    <row r="66" spans="1:25" x14ac:dyDescent="0.25">
      <c r="A66">
        <v>0</v>
      </c>
      <c r="B66">
        <v>0.22401320299999999</v>
      </c>
      <c r="C66">
        <v>5.1144638999999999E-2</v>
      </c>
      <c r="D66">
        <v>5.1210261E-2</v>
      </c>
      <c r="E66">
        <v>0.16499539999999999</v>
      </c>
      <c r="F66">
        <v>1.2746927850000001</v>
      </c>
      <c r="G66">
        <v>2.096478431</v>
      </c>
      <c r="H66">
        <v>299.13053939999998</v>
      </c>
      <c r="I66">
        <v>299.10951269999998</v>
      </c>
      <c r="J66">
        <v>298.98721740000002</v>
      </c>
      <c r="K66">
        <v>299.27323139999999</v>
      </c>
      <c r="L66">
        <v>299.58591439999998</v>
      </c>
      <c r="M66">
        <v>300.95</v>
      </c>
      <c r="N66">
        <v>0.49</v>
      </c>
      <c r="O66">
        <v>12713.8771</v>
      </c>
      <c r="Q66">
        <v>299.14999999999998</v>
      </c>
      <c r="R66">
        <v>26</v>
      </c>
      <c r="S66">
        <f t="shared" si="1"/>
        <v>25.980539399999998</v>
      </c>
      <c r="T66">
        <f t="shared" si="2"/>
        <v>25.959512700000005</v>
      </c>
      <c r="U66">
        <f t="shared" si="3"/>
        <v>25.837217400000043</v>
      </c>
      <c r="V66">
        <f t="shared" si="4"/>
        <v>26.123231400000009</v>
      </c>
      <c r="W66">
        <f t="shared" si="5"/>
        <v>26.435914400000001</v>
      </c>
      <c r="Y66">
        <f t="shared" si="6"/>
        <v>16</v>
      </c>
    </row>
    <row r="67" spans="1:25" x14ac:dyDescent="0.25">
      <c r="A67">
        <v>0</v>
      </c>
      <c r="B67">
        <v>0.167151354</v>
      </c>
      <c r="C67">
        <v>5.1078125000000002E-2</v>
      </c>
      <c r="D67">
        <v>5.1140115E-2</v>
      </c>
      <c r="E67">
        <v>0.167569942</v>
      </c>
      <c r="F67">
        <v>1.2401791660000001</v>
      </c>
      <c r="G67">
        <v>1.9926497030000001</v>
      </c>
      <c r="H67">
        <v>299.2008333</v>
      </c>
      <c r="I67">
        <v>299.09041760000002</v>
      </c>
      <c r="J67">
        <v>298.96775609999997</v>
      </c>
      <c r="K67">
        <v>299.32410179999999</v>
      </c>
      <c r="L67">
        <v>299.55347389999997</v>
      </c>
      <c r="M67">
        <v>300.85850069999998</v>
      </c>
      <c r="N67">
        <v>0.48338281300000002</v>
      </c>
      <c r="O67">
        <v>13249.54638</v>
      </c>
      <c r="Q67">
        <v>299.14999999999998</v>
      </c>
      <c r="R67">
        <v>26</v>
      </c>
      <c r="S67">
        <f t="shared" ref="S67:S130" si="7">H67-273.15</f>
        <v>26.050833300000022</v>
      </c>
      <c r="T67">
        <f t="shared" ref="T67:T130" si="8">I67-273.15</f>
        <v>25.940417600000046</v>
      </c>
      <c r="U67">
        <f t="shared" ref="U67:U130" si="9">J67-273.15</f>
        <v>25.817756099999997</v>
      </c>
      <c r="V67">
        <f t="shared" ref="V67:V130" si="10">K67-273.15</f>
        <v>26.174101800000017</v>
      </c>
      <c r="W67">
        <f t="shared" ref="W67:W130" si="11">L67-273.15</f>
        <v>26.403473899999995</v>
      </c>
      <c r="Y67">
        <f t="shared" si="6"/>
        <v>16.25</v>
      </c>
    </row>
    <row r="68" spans="1:25" x14ac:dyDescent="0.25">
      <c r="A68">
        <v>0</v>
      </c>
      <c r="B68">
        <v>0.17390302399999999</v>
      </c>
      <c r="C68">
        <v>0.11472270499999999</v>
      </c>
      <c r="D68">
        <v>5.1207770999999999E-2</v>
      </c>
      <c r="E68">
        <v>0.18691950299999999</v>
      </c>
      <c r="F68">
        <v>1.2603253649999999</v>
      </c>
      <c r="G68">
        <v>2.1308897130000002</v>
      </c>
      <c r="H68">
        <v>299.12317200000001</v>
      </c>
      <c r="I68">
        <v>298.88801310000002</v>
      </c>
      <c r="J68">
        <v>298.92832779999998</v>
      </c>
      <c r="K68">
        <v>299.27422100000001</v>
      </c>
      <c r="L68">
        <v>299.52276039999998</v>
      </c>
      <c r="M68">
        <v>300.72729829999997</v>
      </c>
      <c r="N68">
        <v>0.4775625</v>
      </c>
      <c r="O68">
        <v>14120.284240000001</v>
      </c>
      <c r="Q68">
        <v>299.14999999999998</v>
      </c>
      <c r="R68">
        <v>26</v>
      </c>
      <c r="S68">
        <f t="shared" si="7"/>
        <v>25.973172000000034</v>
      </c>
      <c r="T68">
        <f t="shared" si="8"/>
        <v>25.738013100000046</v>
      </c>
      <c r="U68">
        <f t="shared" si="9"/>
        <v>25.7783278</v>
      </c>
      <c r="V68">
        <f t="shared" si="10"/>
        <v>26.124221000000034</v>
      </c>
      <c r="W68">
        <f t="shared" si="11"/>
        <v>26.372760400000004</v>
      </c>
      <c r="Y68">
        <f t="shared" ref="Y68:Y131" si="12">Y67+0.25</f>
        <v>16.5</v>
      </c>
    </row>
    <row r="69" spans="1:25" x14ac:dyDescent="0.25">
      <c r="A69">
        <v>0</v>
      </c>
      <c r="B69">
        <v>0.23024074899999999</v>
      </c>
      <c r="C69">
        <v>0.133723655</v>
      </c>
      <c r="D69">
        <v>6.9439855999999994E-2</v>
      </c>
      <c r="E69">
        <v>0.23568246500000001</v>
      </c>
      <c r="F69">
        <v>1.3540238929999999</v>
      </c>
      <c r="G69">
        <v>2.4494971730000001</v>
      </c>
      <c r="H69">
        <v>298.80019329999999</v>
      </c>
      <c r="I69">
        <v>298.60626530000002</v>
      </c>
      <c r="J69">
        <v>298.6725136</v>
      </c>
      <c r="K69">
        <v>298.98785839999999</v>
      </c>
      <c r="L69">
        <v>299.37107020000002</v>
      </c>
      <c r="M69">
        <v>300.55744670000001</v>
      </c>
      <c r="N69">
        <v>0.47296093700000003</v>
      </c>
      <c r="O69">
        <v>14679.99683</v>
      </c>
      <c r="Q69">
        <v>299.14999999999998</v>
      </c>
      <c r="R69">
        <v>26</v>
      </c>
      <c r="S69">
        <f t="shared" si="7"/>
        <v>25.650193300000012</v>
      </c>
      <c r="T69">
        <f t="shared" si="8"/>
        <v>25.456265300000041</v>
      </c>
      <c r="U69">
        <f t="shared" si="9"/>
        <v>25.522513600000025</v>
      </c>
      <c r="V69">
        <f t="shared" si="10"/>
        <v>25.837858400000016</v>
      </c>
      <c r="W69">
        <f t="shared" si="11"/>
        <v>26.221070200000042</v>
      </c>
      <c r="Y69">
        <f t="shared" si="12"/>
        <v>16.75</v>
      </c>
    </row>
    <row r="70" spans="1:25" x14ac:dyDescent="0.25">
      <c r="A70">
        <v>0</v>
      </c>
      <c r="B70">
        <v>0.16667501600000001</v>
      </c>
      <c r="C70">
        <v>5.9210144999999999E-2</v>
      </c>
      <c r="D70">
        <v>5.1360142999999997E-2</v>
      </c>
      <c r="E70">
        <v>0.21519197700000001</v>
      </c>
      <c r="F70">
        <v>1.336683646</v>
      </c>
      <c r="G70">
        <v>2.196698601</v>
      </c>
      <c r="H70">
        <v>298.91312240000002</v>
      </c>
      <c r="I70">
        <v>298.78530280000001</v>
      </c>
      <c r="J70">
        <v>298.7183842</v>
      </c>
      <c r="K70">
        <v>299.09035519999998</v>
      </c>
      <c r="L70">
        <v>299.3770882</v>
      </c>
      <c r="M70">
        <v>300.35000000000002</v>
      </c>
      <c r="N70">
        <v>0.47</v>
      </c>
      <c r="O70">
        <v>12379.41755</v>
      </c>
      <c r="Q70">
        <v>299.14999999999998</v>
      </c>
      <c r="R70">
        <v>26</v>
      </c>
      <c r="S70">
        <f t="shared" si="7"/>
        <v>25.763122400000043</v>
      </c>
      <c r="T70">
        <f t="shared" si="8"/>
        <v>25.635302800000034</v>
      </c>
      <c r="U70">
        <f t="shared" si="9"/>
        <v>25.568384200000025</v>
      </c>
      <c r="V70">
        <f t="shared" si="10"/>
        <v>25.940355199999999</v>
      </c>
      <c r="W70">
        <f t="shared" si="11"/>
        <v>26.227088200000026</v>
      </c>
      <c r="Y70">
        <f t="shared" si="12"/>
        <v>17</v>
      </c>
    </row>
    <row r="71" spans="1:25" x14ac:dyDescent="0.25">
      <c r="A71">
        <v>0</v>
      </c>
      <c r="B71">
        <v>5.0891989999999998E-2</v>
      </c>
      <c r="C71">
        <v>5.0841694E-2</v>
      </c>
      <c r="D71">
        <v>5.0890843999999998E-2</v>
      </c>
      <c r="E71">
        <v>0.141856128</v>
      </c>
      <c r="F71">
        <v>1.0952007539999999</v>
      </c>
      <c r="G71">
        <v>1.6621660330000001</v>
      </c>
      <c r="H71">
        <v>299.33219730000002</v>
      </c>
      <c r="I71">
        <v>299.0417855</v>
      </c>
      <c r="J71">
        <v>298.93387489999998</v>
      </c>
      <c r="K71">
        <v>299.53221239999999</v>
      </c>
      <c r="L71">
        <v>299.47289139999998</v>
      </c>
      <c r="M71">
        <v>300.09481030000001</v>
      </c>
      <c r="N71">
        <v>0.47384210500000001</v>
      </c>
      <c r="O71">
        <v>5572.1860029999998</v>
      </c>
      <c r="Q71">
        <v>299.14999999999998</v>
      </c>
      <c r="R71">
        <v>26</v>
      </c>
      <c r="S71">
        <f t="shared" si="7"/>
        <v>26.182197300000041</v>
      </c>
      <c r="T71">
        <f t="shared" si="8"/>
        <v>25.891785500000026</v>
      </c>
      <c r="U71">
        <f t="shared" si="9"/>
        <v>25.783874900000001</v>
      </c>
      <c r="V71">
        <f t="shared" si="10"/>
        <v>26.382212400000014</v>
      </c>
      <c r="W71">
        <f t="shared" si="11"/>
        <v>26.322891400000003</v>
      </c>
      <c r="Y71">
        <f t="shared" si="12"/>
        <v>17.25</v>
      </c>
    </row>
    <row r="72" spans="1:25" x14ac:dyDescent="0.25">
      <c r="A72">
        <v>0</v>
      </c>
      <c r="B72">
        <v>7.4908172999999995E-2</v>
      </c>
      <c r="C72">
        <v>5.1532922000000002E-2</v>
      </c>
      <c r="D72">
        <v>5.1619128E-2</v>
      </c>
      <c r="E72">
        <v>0.17191314299999999</v>
      </c>
      <c r="F72">
        <v>1.404813694</v>
      </c>
      <c r="G72">
        <v>2.079457712</v>
      </c>
      <c r="H72">
        <v>299.3109637</v>
      </c>
      <c r="I72">
        <v>299.06219850000002</v>
      </c>
      <c r="J72">
        <v>298.97971430000001</v>
      </c>
      <c r="K72">
        <v>299.53296269999998</v>
      </c>
      <c r="L72">
        <v>299.5885988</v>
      </c>
      <c r="M72">
        <v>299.80372019999999</v>
      </c>
      <c r="N72">
        <v>0.48557894699999998</v>
      </c>
      <c r="O72">
        <v>6934.1946770000004</v>
      </c>
      <c r="Q72">
        <v>299.14999999999998</v>
      </c>
      <c r="R72">
        <v>26</v>
      </c>
      <c r="S72">
        <f t="shared" si="7"/>
        <v>26.160963700000025</v>
      </c>
      <c r="T72">
        <f t="shared" si="8"/>
        <v>25.912198500000045</v>
      </c>
      <c r="U72">
        <f t="shared" si="9"/>
        <v>25.829714300000035</v>
      </c>
      <c r="V72">
        <f t="shared" si="10"/>
        <v>26.382962700000007</v>
      </c>
      <c r="W72">
        <f t="shared" si="11"/>
        <v>26.438598800000022</v>
      </c>
      <c r="Y72">
        <f t="shared" si="12"/>
        <v>17.5</v>
      </c>
    </row>
    <row r="73" spans="1:25" x14ac:dyDescent="0.25">
      <c r="A73">
        <v>0</v>
      </c>
      <c r="B73">
        <v>0.214838629</v>
      </c>
      <c r="C73">
        <v>5.3128096999999999E-2</v>
      </c>
      <c r="D73">
        <v>5.3299182000000001E-2</v>
      </c>
      <c r="E73">
        <v>0.28342847100000002</v>
      </c>
      <c r="F73">
        <v>1.3231584080000001</v>
      </c>
      <c r="G73">
        <v>2.3207974939999998</v>
      </c>
      <c r="H73">
        <v>298.79821609999999</v>
      </c>
      <c r="I73">
        <v>298.76544819999998</v>
      </c>
      <c r="J73">
        <v>298.69255520000002</v>
      </c>
      <c r="K73">
        <v>299.08087219999999</v>
      </c>
      <c r="L73">
        <v>299.39100880000001</v>
      </c>
      <c r="M73">
        <v>299.5107701</v>
      </c>
      <c r="N73">
        <v>0.49952631600000003</v>
      </c>
      <c r="O73">
        <v>13800.079100000001</v>
      </c>
      <c r="Q73">
        <v>299.14999999999998</v>
      </c>
      <c r="R73">
        <v>26</v>
      </c>
      <c r="S73">
        <f t="shared" si="7"/>
        <v>25.648216100000013</v>
      </c>
      <c r="T73">
        <f t="shared" si="8"/>
        <v>25.615448200000003</v>
      </c>
      <c r="U73">
        <f t="shared" si="9"/>
        <v>25.542555200000038</v>
      </c>
      <c r="V73">
        <f t="shared" si="10"/>
        <v>25.93087220000001</v>
      </c>
      <c r="W73">
        <f t="shared" si="11"/>
        <v>26.241008800000031</v>
      </c>
      <c r="Y73">
        <f t="shared" si="12"/>
        <v>17.75</v>
      </c>
    </row>
    <row r="74" spans="1:25" x14ac:dyDescent="0.25">
      <c r="A74">
        <v>0</v>
      </c>
      <c r="B74">
        <v>0.15271378099999999</v>
      </c>
      <c r="C74">
        <v>5.1358094999999999E-2</v>
      </c>
      <c r="D74">
        <v>5.1435219999999997E-2</v>
      </c>
      <c r="E74">
        <v>0.25176163800000001</v>
      </c>
      <c r="F74">
        <v>1.3616404129999999</v>
      </c>
      <c r="G74">
        <v>2.259227165</v>
      </c>
      <c r="H74">
        <v>298.7640308</v>
      </c>
      <c r="I74">
        <v>298.63632139999999</v>
      </c>
      <c r="J74">
        <v>298.56928629999999</v>
      </c>
      <c r="K74">
        <v>299.00852379999998</v>
      </c>
      <c r="L74">
        <v>299.29185819999998</v>
      </c>
      <c r="M74">
        <v>299.25</v>
      </c>
      <c r="N74">
        <v>0.51</v>
      </c>
      <c r="O74">
        <v>8938.6928740000003</v>
      </c>
      <c r="Q74">
        <v>299.14999999999998</v>
      </c>
      <c r="R74">
        <v>26</v>
      </c>
      <c r="S74">
        <f t="shared" si="7"/>
        <v>25.614030800000023</v>
      </c>
      <c r="T74">
        <f t="shared" si="8"/>
        <v>25.486321400000008</v>
      </c>
      <c r="U74">
        <f t="shared" si="9"/>
        <v>25.41928630000001</v>
      </c>
      <c r="V74">
        <f t="shared" si="10"/>
        <v>25.8585238</v>
      </c>
      <c r="W74">
        <f t="shared" si="11"/>
        <v>26.141858200000001</v>
      </c>
      <c r="Y74">
        <f t="shared" si="12"/>
        <v>18</v>
      </c>
    </row>
    <row r="75" spans="1:25" x14ac:dyDescent="0.25">
      <c r="A75">
        <v>0</v>
      </c>
      <c r="B75">
        <v>9.4384042000000001E-2</v>
      </c>
      <c r="C75">
        <v>5.0942787000000003E-2</v>
      </c>
      <c r="D75">
        <v>5.0992390999999998E-2</v>
      </c>
      <c r="E75">
        <v>0.20740062000000001</v>
      </c>
      <c r="F75">
        <v>1.129686798</v>
      </c>
      <c r="G75">
        <v>1.851634102</v>
      </c>
      <c r="H75">
        <v>298.85809949999998</v>
      </c>
      <c r="I75">
        <v>298.656657</v>
      </c>
      <c r="J75">
        <v>298.57661289999999</v>
      </c>
      <c r="K75">
        <v>299.09809589999998</v>
      </c>
      <c r="L75">
        <v>299.227554</v>
      </c>
      <c r="M75">
        <v>299.16121320000002</v>
      </c>
      <c r="N75">
        <v>0.51222368399999996</v>
      </c>
      <c r="O75">
        <v>5992.3761889999996</v>
      </c>
      <c r="Q75">
        <v>299.14999999999998</v>
      </c>
      <c r="R75">
        <v>26</v>
      </c>
      <c r="S75">
        <f t="shared" si="7"/>
        <v>25.708099500000003</v>
      </c>
      <c r="T75">
        <f t="shared" si="8"/>
        <v>25.506657000000018</v>
      </c>
      <c r="U75">
        <f t="shared" si="9"/>
        <v>25.426612900000009</v>
      </c>
      <c r="V75">
        <f t="shared" si="10"/>
        <v>25.948095899999998</v>
      </c>
      <c r="W75">
        <f t="shared" si="11"/>
        <v>26.077554000000021</v>
      </c>
      <c r="Y75">
        <f t="shared" si="12"/>
        <v>18.25</v>
      </c>
    </row>
    <row r="76" spans="1:25" x14ac:dyDescent="0.25">
      <c r="A76">
        <v>0</v>
      </c>
      <c r="B76">
        <v>0.117946816</v>
      </c>
      <c r="C76">
        <v>5.2063766999999997E-2</v>
      </c>
      <c r="D76">
        <v>5.2178100999999998E-2</v>
      </c>
      <c r="E76">
        <v>0.224515563</v>
      </c>
      <c r="F76">
        <v>1.268907284</v>
      </c>
      <c r="G76">
        <v>2.0628716539999998</v>
      </c>
      <c r="H76">
        <v>298.71983799999998</v>
      </c>
      <c r="I76">
        <v>298.54920629999998</v>
      </c>
      <c r="J76">
        <v>298.48289690000001</v>
      </c>
      <c r="K76">
        <v>298.95572829999998</v>
      </c>
      <c r="L76">
        <v>299.18494820000001</v>
      </c>
      <c r="M76">
        <v>299.24656859999999</v>
      </c>
      <c r="N76">
        <v>0.50908771900000005</v>
      </c>
      <c r="O76">
        <v>9093.1213279999993</v>
      </c>
      <c r="Q76">
        <v>299.14999999999998</v>
      </c>
      <c r="R76">
        <v>26</v>
      </c>
      <c r="S76">
        <f t="shared" si="7"/>
        <v>25.569838000000004</v>
      </c>
      <c r="T76">
        <f t="shared" si="8"/>
        <v>25.399206300000003</v>
      </c>
      <c r="U76">
        <f t="shared" si="9"/>
        <v>25.332896900000037</v>
      </c>
      <c r="V76">
        <f t="shared" si="10"/>
        <v>25.805728299999998</v>
      </c>
      <c r="W76">
        <f t="shared" si="11"/>
        <v>26.034948200000031</v>
      </c>
      <c r="Y76">
        <f t="shared" si="12"/>
        <v>18.5</v>
      </c>
    </row>
    <row r="77" spans="1:25" x14ac:dyDescent="0.25">
      <c r="A77">
        <v>0</v>
      </c>
      <c r="B77">
        <v>5.1673385000000002E-2</v>
      </c>
      <c r="C77">
        <v>5.0911037999999999E-2</v>
      </c>
      <c r="D77">
        <v>5.0963969999999997E-2</v>
      </c>
      <c r="E77">
        <v>0.19667251399999999</v>
      </c>
      <c r="F77">
        <v>1.1188779680000001</v>
      </c>
      <c r="G77">
        <v>1.775690781</v>
      </c>
      <c r="H77">
        <v>298.76194700000002</v>
      </c>
      <c r="I77">
        <v>298.498921</v>
      </c>
      <c r="J77">
        <v>298.42518890000002</v>
      </c>
      <c r="K77">
        <v>298.92670989999999</v>
      </c>
      <c r="L77">
        <v>299.08816890000003</v>
      </c>
      <c r="M77">
        <v>299.33363969999999</v>
      </c>
      <c r="N77">
        <v>0.50640789500000005</v>
      </c>
      <c r="O77">
        <v>6041.9132710000003</v>
      </c>
      <c r="Q77">
        <v>299.14999999999998</v>
      </c>
      <c r="R77">
        <v>26</v>
      </c>
      <c r="S77">
        <f t="shared" si="7"/>
        <v>25.611947000000043</v>
      </c>
      <c r="T77">
        <f t="shared" si="8"/>
        <v>25.348921000000018</v>
      </c>
      <c r="U77">
        <f t="shared" si="9"/>
        <v>25.275188900000046</v>
      </c>
      <c r="V77">
        <f t="shared" si="10"/>
        <v>25.776709900000014</v>
      </c>
      <c r="W77">
        <f t="shared" si="11"/>
        <v>25.938168900000051</v>
      </c>
      <c r="Y77">
        <f t="shared" si="12"/>
        <v>18.75</v>
      </c>
    </row>
    <row r="78" spans="1:25" x14ac:dyDescent="0.25">
      <c r="A78">
        <v>0</v>
      </c>
      <c r="B78">
        <v>5.0602543E-2</v>
      </c>
      <c r="C78">
        <v>5.0568120000000001E-2</v>
      </c>
      <c r="D78">
        <v>5.0602543E-2</v>
      </c>
      <c r="E78">
        <v>9.7444115999999997E-2</v>
      </c>
      <c r="F78">
        <v>0.874954122</v>
      </c>
      <c r="G78">
        <v>1.3457629820000001</v>
      </c>
      <c r="H78">
        <v>298.77830239999997</v>
      </c>
      <c r="I78">
        <v>298.53164779999997</v>
      </c>
      <c r="J78">
        <v>298.43702089999999</v>
      </c>
      <c r="K78">
        <v>299.10623829999997</v>
      </c>
      <c r="L78">
        <v>299.018845</v>
      </c>
      <c r="M78">
        <v>299.25</v>
      </c>
      <c r="N78">
        <v>0.51</v>
      </c>
      <c r="O78">
        <v>4402.6330690000004</v>
      </c>
      <c r="Q78">
        <v>299.14999999999998</v>
      </c>
      <c r="R78">
        <v>26</v>
      </c>
      <c r="S78">
        <f t="shared" si="7"/>
        <v>25.628302399999995</v>
      </c>
      <c r="T78">
        <f t="shared" si="8"/>
        <v>25.381647799999996</v>
      </c>
      <c r="U78">
        <f t="shared" si="9"/>
        <v>25.287020900000016</v>
      </c>
      <c r="V78">
        <f t="shared" si="10"/>
        <v>25.956238299999995</v>
      </c>
      <c r="W78">
        <f t="shared" si="11"/>
        <v>25.868845000000022</v>
      </c>
      <c r="Y78">
        <f t="shared" si="12"/>
        <v>19</v>
      </c>
    </row>
    <row r="79" spans="1:25" x14ac:dyDescent="0.25">
      <c r="A79">
        <v>0</v>
      </c>
      <c r="B79">
        <v>4.754505E-3</v>
      </c>
      <c r="C79">
        <v>4.5149939999999996E-3</v>
      </c>
      <c r="D79">
        <v>4.754505E-3</v>
      </c>
      <c r="E79">
        <v>3.511667E-3</v>
      </c>
      <c r="F79">
        <v>1.5431668000000001E-2</v>
      </c>
      <c r="G79">
        <v>4.0089271000000003E-2</v>
      </c>
      <c r="H79">
        <v>299.30564199999998</v>
      </c>
      <c r="I79">
        <v>299.15096319999998</v>
      </c>
      <c r="J79">
        <v>298.94174390000001</v>
      </c>
      <c r="K79">
        <v>299.80397490000001</v>
      </c>
      <c r="L79">
        <v>299.19142369999997</v>
      </c>
      <c r="M79">
        <v>298.76767080000002</v>
      </c>
      <c r="N79">
        <v>0.53167187500000002</v>
      </c>
      <c r="O79">
        <v>1465.5705499999999</v>
      </c>
      <c r="Q79">
        <v>299.14999999999998</v>
      </c>
      <c r="R79">
        <v>26</v>
      </c>
      <c r="S79">
        <f t="shared" si="7"/>
        <v>26.155642</v>
      </c>
      <c r="T79">
        <f t="shared" si="8"/>
        <v>26.000963200000001</v>
      </c>
      <c r="U79">
        <f t="shared" si="9"/>
        <v>25.791743900000029</v>
      </c>
      <c r="V79">
        <f t="shared" si="10"/>
        <v>26.653974900000037</v>
      </c>
      <c r="W79">
        <f t="shared" si="11"/>
        <v>26.041423699999996</v>
      </c>
      <c r="Y79">
        <f t="shared" si="12"/>
        <v>19.25</v>
      </c>
    </row>
    <row r="80" spans="1:25" x14ac:dyDescent="0.25">
      <c r="A80">
        <v>0</v>
      </c>
      <c r="B80">
        <v>1.0772752E-2</v>
      </c>
      <c r="C80">
        <v>1.0230065999999999E-2</v>
      </c>
      <c r="D80">
        <v>1.0772752E-2</v>
      </c>
      <c r="E80">
        <v>7.9567179999999998E-3</v>
      </c>
      <c r="F80">
        <v>4.3175891000000001E-2</v>
      </c>
      <c r="G80">
        <v>9.0834477999999996E-2</v>
      </c>
      <c r="H80">
        <v>299.34795000000003</v>
      </c>
      <c r="I80">
        <v>299.18519939999999</v>
      </c>
      <c r="J80">
        <v>298.99366220000002</v>
      </c>
      <c r="K80">
        <v>299.82184360000002</v>
      </c>
      <c r="L80">
        <v>299.2684496</v>
      </c>
      <c r="M80">
        <v>297.95692600000001</v>
      </c>
      <c r="N80">
        <v>0.56995833299999998</v>
      </c>
      <c r="O80">
        <v>1494.009125</v>
      </c>
      <c r="Q80">
        <v>299.14999999999998</v>
      </c>
      <c r="R80">
        <v>26</v>
      </c>
      <c r="S80">
        <f t="shared" si="7"/>
        <v>26.197950000000048</v>
      </c>
      <c r="T80">
        <f t="shared" si="8"/>
        <v>26.03519940000001</v>
      </c>
      <c r="U80">
        <f t="shared" si="9"/>
        <v>25.84366220000004</v>
      </c>
      <c r="V80">
        <f t="shared" si="10"/>
        <v>26.671843600000045</v>
      </c>
      <c r="W80">
        <f t="shared" si="11"/>
        <v>26.118449600000019</v>
      </c>
      <c r="Y80">
        <f t="shared" si="12"/>
        <v>19.5</v>
      </c>
    </row>
    <row r="81" spans="1:25" x14ac:dyDescent="0.25">
      <c r="A81">
        <v>0</v>
      </c>
      <c r="B81">
        <v>1.5944735000000002E-2</v>
      </c>
      <c r="C81">
        <v>1.5141507E-2</v>
      </c>
      <c r="D81">
        <v>1.5944735000000002E-2</v>
      </c>
      <c r="E81">
        <v>1.1776727000000001E-2</v>
      </c>
      <c r="F81">
        <v>6.4846237000000001E-2</v>
      </c>
      <c r="G81">
        <v>0.13444514299999999</v>
      </c>
      <c r="H81">
        <v>299.3099752</v>
      </c>
      <c r="I81">
        <v>299.13994709999997</v>
      </c>
      <c r="J81">
        <v>298.9515495</v>
      </c>
      <c r="K81">
        <v>299.76719539999999</v>
      </c>
      <c r="L81">
        <v>299.27278430000001</v>
      </c>
      <c r="M81">
        <v>297.09271819999998</v>
      </c>
      <c r="N81">
        <v>0.61076562499999998</v>
      </c>
      <c r="O81">
        <v>1536.2182539999999</v>
      </c>
      <c r="Q81">
        <v>299.14999999999998</v>
      </c>
      <c r="R81">
        <v>26</v>
      </c>
      <c r="S81">
        <f t="shared" si="7"/>
        <v>26.159975200000019</v>
      </c>
      <c r="T81">
        <f t="shared" si="8"/>
        <v>25.989947099999995</v>
      </c>
      <c r="U81">
        <f t="shared" si="9"/>
        <v>25.801549500000021</v>
      </c>
      <c r="V81">
        <f t="shared" si="10"/>
        <v>26.617195400000014</v>
      </c>
      <c r="W81">
        <f t="shared" si="11"/>
        <v>26.122784300000035</v>
      </c>
      <c r="Y81">
        <f t="shared" si="12"/>
        <v>19.75</v>
      </c>
    </row>
    <row r="82" spans="1:25" x14ac:dyDescent="0.25">
      <c r="A82">
        <v>0</v>
      </c>
      <c r="B82">
        <v>1.6250553000000001E-2</v>
      </c>
      <c r="C82">
        <v>1.5431917999999999E-2</v>
      </c>
      <c r="D82">
        <v>1.6250553000000001E-2</v>
      </c>
      <c r="E82">
        <v>1.2002603000000001E-2</v>
      </c>
      <c r="F82">
        <v>6.6487566999999997E-2</v>
      </c>
      <c r="G82">
        <v>0.13702395000000001</v>
      </c>
      <c r="H82">
        <v>299.28056340000001</v>
      </c>
      <c r="I82">
        <v>299.12485620000001</v>
      </c>
      <c r="J82">
        <v>298.91758670000002</v>
      </c>
      <c r="K82">
        <v>299.72956799999997</v>
      </c>
      <c r="L82">
        <v>299.2694363</v>
      </c>
      <c r="M82">
        <v>296.45</v>
      </c>
      <c r="N82">
        <v>0.64</v>
      </c>
      <c r="O82">
        <v>1539.219002</v>
      </c>
      <c r="Q82">
        <v>299.14999999999998</v>
      </c>
      <c r="R82">
        <v>30</v>
      </c>
      <c r="S82">
        <f t="shared" si="7"/>
        <v>26.130563400000028</v>
      </c>
      <c r="T82">
        <f t="shared" si="8"/>
        <v>25.974856200000033</v>
      </c>
      <c r="U82">
        <f t="shared" si="9"/>
        <v>25.767586700000038</v>
      </c>
      <c r="V82">
        <f t="shared" si="10"/>
        <v>26.579567999999995</v>
      </c>
      <c r="W82">
        <f t="shared" si="11"/>
        <v>26.119436300000018</v>
      </c>
      <c r="Y82">
        <f t="shared" si="12"/>
        <v>20</v>
      </c>
    </row>
    <row r="83" spans="1:25" x14ac:dyDescent="0.25">
      <c r="A83">
        <v>0</v>
      </c>
      <c r="B83" s="1">
        <v>9.7899999999999994E-5</v>
      </c>
      <c r="C83" s="1">
        <v>9.2899999999999995E-5</v>
      </c>
      <c r="D83" s="1">
        <v>9.7899999999999994E-5</v>
      </c>
      <c r="E83" s="1">
        <v>7.2299999999999996E-5</v>
      </c>
      <c r="F83">
        <v>-3.7283569999999999E-3</v>
      </c>
      <c r="G83">
        <v>8.2524499999999995E-4</v>
      </c>
      <c r="H83">
        <v>299.33171909999999</v>
      </c>
      <c r="I83">
        <v>299.20155099999999</v>
      </c>
      <c r="J83">
        <v>298.99420939999999</v>
      </c>
      <c r="K83">
        <v>299.7804519</v>
      </c>
      <c r="L83">
        <v>299.30472509999998</v>
      </c>
      <c r="M83">
        <v>296.20675399999999</v>
      </c>
      <c r="N83">
        <v>0.64981997300000005</v>
      </c>
      <c r="O83" s="1">
        <v>-4.6800000000000002E-8</v>
      </c>
      <c r="Q83">
        <v>299.14999999999998</v>
      </c>
      <c r="R83">
        <v>30</v>
      </c>
      <c r="S83">
        <f t="shared" si="7"/>
        <v>26.181719100000009</v>
      </c>
      <c r="T83">
        <f t="shared" si="8"/>
        <v>26.051551000000018</v>
      </c>
      <c r="U83">
        <f t="shared" si="9"/>
        <v>25.844209400000011</v>
      </c>
      <c r="V83">
        <f t="shared" si="10"/>
        <v>26.630451900000025</v>
      </c>
      <c r="W83">
        <f t="shared" si="11"/>
        <v>26.154725100000007</v>
      </c>
      <c r="Y83">
        <f t="shared" si="12"/>
        <v>20.25</v>
      </c>
    </row>
    <row r="84" spans="1:25" x14ac:dyDescent="0.25">
      <c r="A84">
        <v>0</v>
      </c>
      <c r="B84" s="1">
        <v>9.7700000000000003E-5</v>
      </c>
      <c r="C84" s="1">
        <v>9.2700000000000004E-5</v>
      </c>
      <c r="D84" s="1">
        <v>9.7700000000000003E-5</v>
      </c>
      <c r="E84" s="1">
        <v>7.2100000000000004E-5</v>
      </c>
      <c r="F84">
        <v>-3.7082619999999999E-3</v>
      </c>
      <c r="G84">
        <v>8.2347900000000001E-4</v>
      </c>
      <c r="H84">
        <v>299.33038149999999</v>
      </c>
      <c r="I84">
        <v>299.20184990000001</v>
      </c>
      <c r="J84">
        <v>298.99679379999998</v>
      </c>
      <c r="K84">
        <v>299.7651803</v>
      </c>
      <c r="L84">
        <v>299.30636129999999</v>
      </c>
      <c r="M84">
        <v>296.2</v>
      </c>
      <c r="N84">
        <v>0.64910326100000004</v>
      </c>
      <c r="O84" s="1">
        <v>-4.66E-8</v>
      </c>
      <c r="Q84">
        <v>299.14999999999998</v>
      </c>
      <c r="R84">
        <v>30</v>
      </c>
      <c r="S84">
        <f t="shared" si="7"/>
        <v>26.18038150000001</v>
      </c>
      <c r="T84">
        <f t="shared" si="8"/>
        <v>26.051849900000036</v>
      </c>
      <c r="U84">
        <f t="shared" si="9"/>
        <v>25.8467938</v>
      </c>
      <c r="V84">
        <f t="shared" si="10"/>
        <v>26.61518030000002</v>
      </c>
      <c r="W84">
        <f t="shared" si="11"/>
        <v>26.156361300000015</v>
      </c>
      <c r="Y84">
        <f t="shared" si="12"/>
        <v>20.5</v>
      </c>
    </row>
    <row r="85" spans="1:25" x14ac:dyDescent="0.25">
      <c r="A85">
        <v>0</v>
      </c>
      <c r="B85" s="1">
        <v>9.7499999999999998E-5</v>
      </c>
      <c r="C85" s="1">
        <v>9.2600000000000001E-5</v>
      </c>
      <c r="D85" s="1">
        <v>9.7499999999999998E-5</v>
      </c>
      <c r="E85" s="1">
        <v>7.2000000000000002E-5</v>
      </c>
      <c r="F85">
        <v>-3.7236560000000001E-3</v>
      </c>
      <c r="G85">
        <v>8.2178299999999998E-4</v>
      </c>
      <c r="H85">
        <v>299.32350059999999</v>
      </c>
      <c r="I85">
        <v>299.1949333</v>
      </c>
      <c r="J85">
        <v>298.98945459999999</v>
      </c>
      <c r="K85">
        <v>299.7442805</v>
      </c>
      <c r="L85">
        <v>299.30111429999999</v>
      </c>
      <c r="M85">
        <v>296.19324599999999</v>
      </c>
      <c r="N85">
        <v>0.64883491800000004</v>
      </c>
      <c r="O85" s="1">
        <v>-4.6399999999999999E-8</v>
      </c>
      <c r="Q85">
        <v>299.14999999999998</v>
      </c>
      <c r="R85">
        <v>30</v>
      </c>
      <c r="S85">
        <f t="shared" si="7"/>
        <v>26.173500600000011</v>
      </c>
      <c r="T85">
        <f t="shared" si="8"/>
        <v>26.044933300000025</v>
      </c>
      <c r="U85">
        <f t="shared" si="9"/>
        <v>25.83945460000001</v>
      </c>
      <c r="V85">
        <f t="shared" si="10"/>
        <v>26.594280500000025</v>
      </c>
      <c r="W85">
        <f t="shared" si="11"/>
        <v>26.151114300000017</v>
      </c>
      <c r="Y85">
        <f t="shared" si="12"/>
        <v>20.75</v>
      </c>
    </row>
    <row r="86" spans="1:25" x14ac:dyDescent="0.25">
      <c r="A86">
        <v>0</v>
      </c>
      <c r="B86" s="1">
        <v>9.7100000000000002E-5</v>
      </c>
      <c r="C86" s="1">
        <v>9.2200000000000005E-5</v>
      </c>
      <c r="D86" s="1">
        <v>9.7100000000000002E-5</v>
      </c>
      <c r="E86" s="1">
        <v>7.1699999999999995E-5</v>
      </c>
      <c r="F86">
        <v>-3.5968279999999998E-3</v>
      </c>
      <c r="G86">
        <v>8.18734E-4</v>
      </c>
      <c r="H86">
        <v>299.31255950000002</v>
      </c>
      <c r="I86">
        <v>299.18650109999999</v>
      </c>
      <c r="J86">
        <v>298.97984889999998</v>
      </c>
      <c r="K86">
        <v>299.72225049999997</v>
      </c>
      <c r="L86">
        <v>299.3014197</v>
      </c>
      <c r="M86">
        <v>295.95</v>
      </c>
      <c r="N86">
        <v>0.66</v>
      </c>
      <c r="O86" s="1">
        <v>-4.6100000000000003E-8</v>
      </c>
      <c r="Q86">
        <v>299.14999999999998</v>
      </c>
      <c r="R86">
        <v>30</v>
      </c>
      <c r="S86">
        <f t="shared" si="7"/>
        <v>26.162559500000043</v>
      </c>
      <c r="T86">
        <f t="shared" si="8"/>
        <v>26.03650110000001</v>
      </c>
      <c r="U86">
        <f t="shared" si="9"/>
        <v>25.829848900000002</v>
      </c>
      <c r="V86">
        <f t="shared" si="10"/>
        <v>26.572250499999996</v>
      </c>
      <c r="W86">
        <f t="shared" si="11"/>
        <v>26.151419700000019</v>
      </c>
      <c r="Y86">
        <f t="shared" si="12"/>
        <v>21</v>
      </c>
    </row>
    <row r="87" spans="1:25" x14ac:dyDescent="0.25">
      <c r="A87">
        <v>0</v>
      </c>
      <c r="B87" s="1">
        <v>9.7100000000000002E-5</v>
      </c>
      <c r="C87" s="1">
        <v>9.2200000000000005E-5</v>
      </c>
      <c r="D87" s="1">
        <v>9.7100000000000002E-5</v>
      </c>
      <c r="E87" s="1">
        <v>7.1699999999999995E-5</v>
      </c>
      <c r="F87">
        <v>-3.079989E-3</v>
      </c>
      <c r="G87">
        <v>8.1839200000000003E-4</v>
      </c>
      <c r="H87">
        <v>299.29017440000001</v>
      </c>
      <c r="I87">
        <v>299.17742470000002</v>
      </c>
      <c r="J87">
        <v>298.96437570000001</v>
      </c>
      <c r="K87">
        <v>299.69693769999998</v>
      </c>
      <c r="L87">
        <v>299.31331399999999</v>
      </c>
      <c r="M87">
        <v>295.12036540000003</v>
      </c>
      <c r="N87">
        <v>0.69253226899999998</v>
      </c>
      <c r="O87" s="1">
        <v>-4.6000000000000002E-8</v>
      </c>
      <c r="Q87">
        <v>299.14999999999998</v>
      </c>
      <c r="R87">
        <v>30</v>
      </c>
      <c r="S87">
        <f t="shared" si="7"/>
        <v>26.140174400000035</v>
      </c>
      <c r="T87">
        <f t="shared" si="8"/>
        <v>26.02742470000004</v>
      </c>
      <c r="U87">
        <f t="shared" si="9"/>
        <v>25.814375700000028</v>
      </c>
      <c r="V87">
        <f t="shared" si="10"/>
        <v>26.546937700000001</v>
      </c>
      <c r="W87">
        <f t="shared" si="11"/>
        <v>26.163314000000014</v>
      </c>
      <c r="Y87">
        <f t="shared" si="12"/>
        <v>21.25</v>
      </c>
    </row>
    <row r="88" spans="1:25" x14ac:dyDescent="0.25">
      <c r="A88">
        <v>0</v>
      </c>
      <c r="B88" s="1">
        <v>9.7899999999999994E-5</v>
      </c>
      <c r="C88" s="1">
        <v>9.2999999999999997E-5</v>
      </c>
      <c r="D88" s="1">
        <v>9.7899999999999994E-5</v>
      </c>
      <c r="E88" s="1">
        <v>7.2299999999999996E-5</v>
      </c>
      <c r="F88">
        <v>-2.2876070000000001E-3</v>
      </c>
      <c r="G88">
        <v>8.2532899999999997E-4</v>
      </c>
      <c r="H88">
        <v>299.25511169999999</v>
      </c>
      <c r="I88">
        <v>299.1633587</v>
      </c>
      <c r="J88">
        <v>298.93773979999997</v>
      </c>
      <c r="K88">
        <v>299.66540909999998</v>
      </c>
      <c r="L88">
        <v>299.32833010000002</v>
      </c>
      <c r="M88">
        <v>293.85296369999998</v>
      </c>
      <c r="N88">
        <v>0.73870923899999996</v>
      </c>
      <c r="O88" s="1">
        <v>-4.6800000000000002E-8</v>
      </c>
      <c r="Q88">
        <v>299.14999999999998</v>
      </c>
      <c r="R88">
        <v>30</v>
      </c>
      <c r="S88">
        <f t="shared" si="7"/>
        <v>26.105111700000009</v>
      </c>
      <c r="T88">
        <f t="shared" si="8"/>
        <v>26.013358700000026</v>
      </c>
      <c r="U88">
        <f t="shared" si="9"/>
        <v>25.787739799999997</v>
      </c>
      <c r="V88">
        <f t="shared" si="10"/>
        <v>26.515409099999999</v>
      </c>
      <c r="W88">
        <f t="shared" si="11"/>
        <v>26.178330100000039</v>
      </c>
      <c r="Y88">
        <f t="shared" si="12"/>
        <v>21.5</v>
      </c>
    </row>
    <row r="89" spans="1:25" x14ac:dyDescent="0.25">
      <c r="A89">
        <v>0</v>
      </c>
      <c r="B89" s="1">
        <v>9.6500000000000001E-5</v>
      </c>
      <c r="C89" s="1">
        <v>9.1700000000000006E-5</v>
      </c>
      <c r="D89" s="1">
        <v>9.6500000000000001E-5</v>
      </c>
      <c r="E89" s="1">
        <v>7.1299999999999998E-5</v>
      </c>
      <c r="F89">
        <v>-1.7133210000000001E-3</v>
      </c>
      <c r="G89">
        <v>8.1379900000000003E-4</v>
      </c>
      <c r="H89">
        <v>299.22731750000003</v>
      </c>
      <c r="I89">
        <v>299.13680249999999</v>
      </c>
      <c r="J89">
        <v>298.90290809999999</v>
      </c>
      <c r="K89">
        <v>299.628803</v>
      </c>
      <c r="L89">
        <v>299.33740239999997</v>
      </c>
      <c r="M89">
        <v>292.65908009999998</v>
      </c>
      <c r="N89">
        <v>0.78303159</v>
      </c>
      <c r="O89" s="1">
        <v>-4.5499999999999997E-8</v>
      </c>
      <c r="Q89">
        <v>299.14999999999998</v>
      </c>
      <c r="R89">
        <v>30</v>
      </c>
      <c r="S89">
        <f t="shared" si="7"/>
        <v>26.077317500000049</v>
      </c>
      <c r="T89">
        <f t="shared" si="8"/>
        <v>25.98680250000001</v>
      </c>
      <c r="U89">
        <f t="shared" si="9"/>
        <v>25.752908100000013</v>
      </c>
      <c r="V89">
        <f t="shared" si="10"/>
        <v>26.478803000000028</v>
      </c>
      <c r="W89">
        <f t="shared" si="11"/>
        <v>26.187402399999996</v>
      </c>
      <c r="Y89">
        <f t="shared" si="12"/>
        <v>21.75</v>
      </c>
    </row>
    <row r="90" spans="1:25" x14ac:dyDescent="0.25">
      <c r="A90">
        <v>0</v>
      </c>
      <c r="B90" s="1">
        <v>9.5799999999999998E-5</v>
      </c>
      <c r="C90" s="1">
        <v>9.1000000000000003E-5</v>
      </c>
      <c r="D90" s="1">
        <v>9.5799999999999998E-5</v>
      </c>
      <c r="E90" s="1">
        <v>7.0699999999999997E-5</v>
      </c>
      <c r="F90">
        <v>-1.5272249999999999E-3</v>
      </c>
      <c r="G90">
        <v>8.0760800000000002E-4</v>
      </c>
      <c r="H90">
        <v>299.20987609999997</v>
      </c>
      <c r="I90">
        <v>299.11107029999999</v>
      </c>
      <c r="J90">
        <v>298.86749409999999</v>
      </c>
      <c r="K90">
        <v>299.58720649999998</v>
      </c>
      <c r="L90">
        <v>299.33285469999998</v>
      </c>
      <c r="M90">
        <v>292.05</v>
      </c>
      <c r="N90">
        <v>0.81</v>
      </c>
      <c r="O90" s="1">
        <v>-4.4799999999999997E-8</v>
      </c>
      <c r="Q90">
        <v>299.14999999999998</v>
      </c>
      <c r="R90">
        <v>30</v>
      </c>
      <c r="S90">
        <f t="shared" si="7"/>
        <v>26.059876099999997</v>
      </c>
      <c r="T90">
        <f t="shared" si="8"/>
        <v>25.961070300000017</v>
      </c>
      <c r="U90">
        <f t="shared" si="9"/>
        <v>25.71749410000001</v>
      </c>
      <c r="V90">
        <f t="shared" si="10"/>
        <v>26.437206500000002</v>
      </c>
      <c r="W90">
        <f t="shared" si="11"/>
        <v>26.182854700000007</v>
      </c>
      <c r="Y90">
        <f t="shared" si="12"/>
        <v>22</v>
      </c>
    </row>
    <row r="91" spans="1:25" x14ac:dyDescent="0.25">
      <c r="A91">
        <v>0</v>
      </c>
      <c r="B91" s="1">
        <v>9.5699999999999995E-5</v>
      </c>
      <c r="C91" s="1">
        <v>9.09E-5</v>
      </c>
      <c r="D91" s="1">
        <v>9.5699999999999995E-5</v>
      </c>
      <c r="E91" s="1">
        <v>7.0699999999999997E-5</v>
      </c>
      <c r="F91">
        <v>-1.5397589999999999E-3</v>
      </c>
      <c r="G91">
        <v>8.06897E-4</v>
      </c>
      <c r="H91">
        <v>299.18680920000003</v>
      </c>
      <c r="I91">
        <v>299.09111280000002</v>
      </c>
      <c r="J91">
        <v>298.83956840000002</v>
      </c>
      <c r="K91">
        <v>299.56760370000001</v>
      </c>
      <c r="L91">
        <v>299.31572870000002</v>
      </c>
      <c r="M91">
        <v>291.99515630000002</v>
      </c>
      <c r="N91">
        <v>0.81986049100000002</v>
      </c>
      <c r="O91" s="1">
        <v>-4.4700000000000003E-8</v>
      </c>
      <c r="Q91">
        <v>299.14999999999998</v>
      </c>
      <c r="R91">
        <v>30</v>
      </c>
      <c r="S91">
        <f t="shared" si="7"/>
        <v>26.03680920000005</v>
      </c>
      <c r="T91">
        <f t="shared" si="8"/>
        <v>25.941112800000042</v>
      </c>
      <c r="U91">
        <f t="shared" si="9"/>
        <v>25.689568400000041</v>
      </c>
      <c r="V91">
        <f t="shared" si="10"/>
        <v>26.417603700000029</v>
      </c>
      <c r="W91">
        <f t="shared" si="11"/>
        <v>26.165728700000045</v>
      </c>
      <c r="Y91">
        <f t="shared" si="12"/>
        <v>22.25</v>
      </c>
    </row>
    <row r="92" spans="1:25" x14ac:dyDescent="0.25">
      <c r="A92">
        <v>0</v>
      </c>
      <c r="B92" s="1">
        <v>9.48E-5</v>
      </c>
      <c r="C92" s="1">
        <v>9.0099999999999995E-5</v>
      </c>
      <c r="D92" s="1">
        <v>9.48E-5</v>
      </c>
      <c r="E92" s="1">
        <v>6.9999999999999994E-5</v>
      </c>
      <c r="F92">
        <v>-1.7229159999999999E-3</v>
      </c>
      <c r="G92">
        <v>7.9962000000000002E-4</v>
      </c>
      <c r="H92">
        <v>299.18135089999998</v>
      </c>
      <c r="I92">
        <v>299.07239650000002</v>
      </c>
      <c r="J92">
        <v>298.81819369999999</v>
      </c>
      <c r="K92">
        <v>299.5451491</v>
      </c>
      <c r="L92">
        <v>299.30280809999999</v>
      </c>
      <c r="M92">
        <v>292.05</v>
      </c>
      <c r="N92">
        <v>0.82566964300000001</v>
      </c>
      <c r="O92" s="1">
        <v>-4.3900000000000003E-8</v>
      </c>
      <c r="Q92">
        <v>299.14999999999998</v>
      </c>
      <c r="R92">
        <v>30</v>
      </c>
      <c r="S92">
        <f t="shared" si="7"/>
        <v>26.031350900000007</v>
      </c>
      <c r="T92">
        <f t="shared" si="8"/>
        <v>25.922396500000048</v>
      </c>
      <c r="U92">
        <f t="shared" si="9"/>
        <v>25.668193700000018</v>
      </c>
      <c r="V92">
        <f t="shared" si="10"/>
        <v>26.395149100000026</v>
      </c>
      <c r="W92">
        <f t="shared" si="11"/>
        <v>26.152808100000016</v>
      </c>
      <c r="Y92">
        <f t="shared" si="12"/>
        <v>22.5</v>
      </c>
    </row>
    <row r="93" spans="1:25" x14ac:dyDescent="0.25">
      <c r="A93">
        <v>0</v>
      </c>
      <c r="B93" s="1">
        <v>8.9199999999999993E-6</v>
      </c>
      <c r="C93" s="1">
        <v>8.4700000000000002E-6</v>
      </c>
      <c r="D93" s="1">
        <v>8.9199999999999993E-6</v>
      </c>
      <c r="E93" s="1">
        <v>6.5799999999999997E-6</v>
      </c>
      <c r="F93">
        <v>-2.1812749999999999E-3</v>
      </c>
      <c r="G93" s="1">
        <v>7.5199999999999998E-5</v>
      </c>
      <c r="H93">
        <v>299.17177370000002</v>
      </c>
      <c r="I93">
        <v>299.0629404</v>
      </c>
      <c r="J93">
        <v>298.79788459999997</v>
      </c>
      <c r="K93">
        <v>299.52382770000003</v>
      </c>
      <c r="L93">
        <v>299.29030790000002</v>
      </c>
      <c r="M93">
        <v>292.10484380000003</v>
      </c>
      <c r="N93">
        <v>0.83114397299999998</v>
      </c>
      <c r="O93" s="1">
        <v>-3.88E-10</v>
      </c>
      <c r="Q93">
        <v>299.14999999999998</v>
      </c>
      <c r="R93">
        <v>30</v>
      </c>
      <c r="S93">
        <f t="shared" si="7"/>
        <v>26.02177370000004</v>
      </c>
      <c r="T93">
        <f t="shared" si="8"/>
        <v>25.912940400000025</v>
      </c>
      <c r="U93">
        <f t="shared" si="9"/>
        <v>25.647884599999998</v>
      </c>
      <c r="V93">
        <f t="shared" si="10"/>
        <v>26.373827700000049</v>
      </c>
      <c r="W93">
        <f t="shared" si="11"/>
        <v>26.140307900000039</v>
      </c>
      <c r="Y93">
        <f t="shared" si="12"/>
        <v>22.75</v>
      </c>
    </row>
    <row r="94" spans="1:25" x14ac:dyDescent="0.25">
      <c r="A94">
        <v>0</v>
      </c>
      <c r="B94" s="1">
        <v>5.6600000000000001E-10</v>
      </c>
      <c r="C94" s="1">
        <v>5.3700000000000001E-10</v>
      </c>
      <c r="D94" s="1">
        <v>5.6600000000000001E-10</v>
      </c>
      <c r="E94" s="1">
        <v>4.18E-10</v>
      </c>
      <c r="F94">
        <v>-2.223194E-3</v>
      </c>
      <c r="G94" s="1">
        <v>4.7699999999999999E-9</v>
      </c>
      <c r="H94">
        <v>299.1569523</v>
      </c>
      <c r="I94">
        <v>299.04997200000003</v>
      </c>
      <c r="J94">
        <v>298.77801629999999</v>
      </c>
      <c r="K94">
        <v>299.50204489999999</v>
      </c>
      <c r="L94">
        <v>299.2797382</v>
      </c>
      <c r="M94">
        <v>292.05</v>
      </c>
      <c r="N94">
        <v>0.84</v>
      </c>
      <c r="O94" s="1">
        <v>-1.56E-18</v>
      </c>
      <c r="Q94">
        <v>299.14999999999998</v>
      </c>
      <c r="R94">
        <v>30</v>
      </c>
      <c r="S94">
        <f t="shared" si="7"/>
        <v>26.006952300000023</v>
      </c>
      <c r="T94">
        <f t="shared" si="8"/>
        <v>25.899972000000048</v>
      </c>
      <c r="U94">
        <f t="shared" si="9"/>
        <v>25.628016300000013</v>
      </c>
      <c r="V94">
        <f t="shared" si="10"/>
        <v>26.35204490000001</v>
      </c>
      <c r="W94">
        <f t="shared" si="11"/>
        <v>26.12973820000002</v>
      </c>
      <c r="Y94">
        <f t="shared" si="12"/>
        <v>23</v>
      </c>
    </row>
    <row r="95" spans="1:25" x14ac:dyDescent="0.25">
      <c r="A95">
        <v>0</v>
      </c>
      <c r="B95" s="1">
        <v>7.9200000000000004E-6</v>
      </c>
      <c r="C95" s="1">
        <v>7.52E-6</v>
      </c>
      <c r="D95" s="1">
        <v>7.9200000000000004E-6</v>
      </c>
      <c r="E95" s="1">
        <v>5.8499999999999999E-6</v>
      </c>
      <c r="F95">
        <v>-2.133275E-3</v>
      </c>
      <c r="G95" s="1">
        <v>6.6699999999999995E-5</v>
      </c>
      <c r="H95">
        <v>299.14014980000002</v>
      </c>
      <c r="I95">
        <v>299.03419960000002</v>
      </c>
      <c r="J95">
        <v>298.76363459999999</v>
      </c>
      <c r="K95">
        <v>299.47887989999998</v>
      </c>
      <c r="L95">
        <v>299.27492539999997</v>
      </c>
      <c r="M95">
        <v>291.89809150000002</v>
      </c>
      <c r="N95">
        <v>0.85459821400000002</v>
      </c>
      <c r="O95" s="1">
        <v>-3.0599999999999998E-10</v>
      </c>
      <c r="Q95">
        <v>299.14999999999998</v>
      </c>
      <c r="R95">
        <v>30</v>
      </c>
      <c r="S95">
        <f t="shared" si="7"/>
        <v>25.99014980000004</v>
      </c>
      <c r="T95">
        <f t="shared" si="8"/>
        <v>25.884199600000045</v>
      </c>
      <c r="U95">
        <f t="shared" si="9"/>
        <v>25.613634600000012</v>
      </c>
      <c r="V95">
        <f t="shared" si="10"/>
        <v>26.328879900000004</v>
      </c>
      <c r="W95">
        <f t="shared" si="11"/>
        <v>26.124925399999995</v>
      </c>
      <c r="Y95">
        <f t="shared" si="12"/>
        <v>23.25</v>
      </c>
    </row>
    <row r="96" spans="1:25" x14ac:dyDescent="0.25">
      <c r="A96">
        <v>0</v>
      </c>
      <c r="B96" s="1">
        <v>9.5000000000000005E-5</v>
      </c>
      <c r="C96" s="1">
        <v>9.0299999999999999E-5</v>
      </c>
      <c r="D96" s="1">
        <v>9.5000000000000005E-5</v>
      </c>
      <c r="E96" s="1">
        <v>7.0199999999999999E-5</v>
      </c>
      <c r="F96">
        <v>-1.735566E-3</v>
      </c>
      <c r="G96">
        <v>8.0142899999999999E-4</v>
      </c>
      <c r="H96">
        <v>299.1215449</v>
      </c>
      <c r="I96">
        <v>299.0100731</v>
      </c>
      <c r="J96">
        <v>298.7507951</v>
      </c>
      <c r="K96">
        <v>299.45478900000001</v>
      </c>
      <c r="L96">
        <v>299.27080710000001</v>
      </c>
      <c r="M96">
        <v>291.74116070000002</v>
      </c>
      <c r="N96">
        <v>0.87214285700000005</v>
      </c>
      <c r="O96" s="1">
        <v>-4.4099999999999998E-8</v>
      </c>
      <c r="Q96">
        <v>299.14999999999998</v>
      </c>
      <c r="R96">
        <v>30</v>
      </c>
      <c r="S96">
        <f t="shared" si="7"/>
        <v>25.971544900000026</v>
      </c>
      <c r="T96">
        <f t="shared" si="8"/>
        <v>25.860073100000022</v>
      </c>
      <c r="U96">
        <f t="shared" si="9"/>
        <v>25.600795100000028</v>
      </c>
      <c r="V96">
        <f t="shared" si="10"/>
        <v>26.304789000000028</v>
      </c>
      <c r="W96">
        <f t="shared" si="11"/>
        <v>26.120807100000036</v>
      </c>
      <c r="Y96">
        <f t="shared" si="12"/>
        <v>23.5</v>
      </c>
    </row>
    <row r="97" spans="1:25" x14ac:dyDescent="0.25">
      <c r="A97">
        <v>0</v>
      </c>
      <c r="B97" s="1">
        <v>9.7299999999999993E-5</v>
      </c>
      <c r="C97" s="1">
        <v>9.2399999999999996E-5</v>
      </c>
      <c r="D97" s="1">
        <v>9.7299999999999993E-5</v>
      </c>
      <c r="E97" s="1">
        <v>7.1799999999999997E-5</v>
      </c>
      <c r="F97">
        <v>-1.3717919999999999E-3</v>
      </c>
      <c r="G97">
        <v>8.2017400000000001E-4</v>
      </c>
      <c r="H97">
        <v>299.06774710000002</v>
      </c>
      <c r="I97">
        <v>298.99800620000002</v>
      </c>
      <c r="J97">
        <v>298.73490729999997</v>
      </c>
      <c r="K97">
        <v>299.42796959999998</v>
      </c>
      <c r="L97">
        <v>299.25860349999999</v>
      </c>
      <c r="M97">
        <v>291.5886496</v>
      </c>
      <c r="N97">
        <v>0.88861607099999995</v>
      </c>
      <c r="O97" s="1">
        <v>-4.6199999999999997E-8</v>
      </c>
      <c r="Q97">
        <v>299.14999999999998</v>
      </c>
      <c r="R97">
        <v>30</v>
      </c>
      <c r="S97">
        <f t="shared" si="7"/>
        <v>25.917747100000042</v>
      </c>
      <c r="T97">
        <f t="shared" si="8"/>
        <v>25.848006200000043</v>
      </c>
      <c r="U97">
        <f t="shared" si="9"/>
        <v>25.584907299999998</v>
      </c>
      <c r="V97">
        <f t="shared" si="10"/>
        <v>26.277969600000006</v>
      </c>
      <c r="W97">
        <f t="shared" si="11"/>
        <v>26.108603500000015</v>
      </c>
      <c r="Y97">
        <f t="shared" si="12"/>
        <v>23.75</v>
      </c>
    </row>
    <row r="98" spans="1:25" x14ac:dyDescent="0.25">
      <c r="A98">
        <v>0</v>
      </c>
      <c r="B98" s="1">
        <v>9.7100000000000002E-5</v>
      </c>
      <c r="C98" s="1">
        <v>9.2200000000000005E-5</v>
      </c>
      <c r="D98" s="1">
        <v>9.7100000000000002E-5</v>
      </c>
      <c r="E98" s="1">
        <v>7.1699999999999995E-5</v>
      </c>
      <c r="F98">
        <v>-1.342137E-3</v>
      </c>
      <c r="G98">
        <v>8.1873500000000001E-4</v>
      </c>
      <c r="H98">
        <v>299.0487243</v>
      </c>
      <c r="I98">
        <v>298.97840209999998</v>
      </c>
      <c r="J98">
        <v>298.71897419999999</v>
      </c>
      <c r="K98">
        <v>299.37948069999999</v>
      </c>
      <c r="L98">
        <v>299.25183779999998</v>
      </c>
      <c r="M98">
        <v>291.45</v>
      </c>
      <c r="N98">
        <v>0.9</v>
      </c>
      <c r="O98" s="1">
        <v>-4.6100000000000003E-8</v>
      </c>
      <c r="Q98">
        <v>299.14999999999998</v>
      </c>
      <c r="R98">
        <v>30</v>
      </c>
      <c r="S98">
        <f t="shared" si="7"/>
        <v>25.898724300000026</v>
      </c>
      <c r="T98">
        <f t="shared" si="8"/>
        <v>25.828402100000005</v>
      </c>
      <c r="U98">
        <f t="shared" si="9"/>
        <v>25.568974200000014</v>
      </c>
      <c r="V98">
        <f t="shared" si="10"/>
        <v>26.229480700000011</v>
      </c>
      <c r="W98">
        <f t="shared" si="11"/>
        <v>26.101837799999998</v>
      </c>
      <c r="Y98">
        <f t="shared" si="12"/>
        <v>24</v>
      </c>
    </row>
    <row r="99" spans="1:25" x14ac:dyDescent="0.25">
      <c r="A99">
        <v>0</v>
      </c>
      <c r="B99" s="1">
        <v>9.7200000000000004E-5</v>
      </c>
      <c r="C99" s="1">
        <v>9.2299999999999994E-5</v>
      </c>
      <c r="D99" s="1">
        <v>9.7200000000000004E-5</v>
      </c>
      <c r="E99" s="1">
        <v>7.1799999999999997E-5</v>
      </c>
      <c r="F99">
        <v>-1.3231009999999999E-3</v>
      </c>
      <c r="G99">
        <v>8.1926299999999998E-4</v>
      </c>
      <c r="H99">
        <v>299.03368640000002</v>
      </c>
      <c r="I99">
        <v>298.96141949999998</v>
      </c>
      <c r="J99">
        <v>298.70489609999998</v>
      </c>
      <c r="K99">
        <v>299.35295139999999</v>
      </c>
      <c r="L99">
        <v>299.24224930000003</v>
      </c>
      <c r="M99">
        <v>291.32335160000002</v>
      </c>
      <c r="N99">
        <v>0.89882812499999998</v>
      </c>
      <c r="O99" s="1">
        <v>-4.6100000000000003E-8</v>
      </c>
      <c r="Q99">
        <v>299.14999999999998</v>
      </c>
      <c r="R99">
        <v>30</v>
      </c>
      <c r="S99">
        <f t="shared" si="7"/>
        <v>25.883686400000045</v>
      </c>
      <c r="T99">
        <f t="shared" si="8"/>
        <v>25.8114195</v>
      </c>
      <c r="U99">
        <f t="shared" si="9"/>
        <v>25.554896100000008</v>
      </c>
      <c r="V99">
        <f t="shared" si="10"/>
        <v>26.202951400000018</v>
      </c>
      <c r="W99">
        <f t="shared" si="11"/>
        <v>26.092249300000049</v>
      </c>
      <c r="Y99">
        <f t="shared" si="12"/>
        <v>24.25</v>
      </c>
    </row>
    <row r="100" spans="1:25" x14ac:dyDescent="0.25">
      <c r="A100">
        <v>0</v>
      </c>
      <c r="B100" s="1">
        <v>9.7200000000000004E-5</v>
      </c>
      <c r="C100" s="1">
        <v>9.2299999999999994E-5</v>
      </c>
      <c r="D100" s="1">
        <v>9.7200000000000004E-5</v>
      </c>
      <c r="E100" s="1">
        <v>7.1799999999999997E-5</v>
      </c>
      <c r="F100">
        <v>-1.2845840000000001E-3</v>
      </c>
      <c r="G100">
        <v>8.1964199999999998E-4</v>
      </c>
      <c r="H100">
        <v>299.01798889999998</v>
      </c>
      <c r="I100">
        <v>298.94606950000002</v>
      </c>
      <c r="J100">
        <v>298.6924386</v>
      </c>
      <c r="K100">
        <v>299.33005889999998</v>
      </c>
      <c r="L100">
        <v>299.23007639999997</v>
      </c>
      <c r="M100">
        <v>291.19917579999998</v>
      </c>
      <c r="N100">
        <v>0.88687499999999997</v>
      </c>
      <c r="O100" s="1">
        <v>-4.6199999999999997E-8</v>
      </c>
      <c r="Q100">
        <v>299.14999999999998</v>
      </c>
      <c r="R100">
        <v>30</v>
      </c>
      <c r="S100">
        <f t="shared" si="7"/>
        <v>25.8679889</v>
      </c>
      <c r="T100">
        <f t="shared" si="8"/>
        <v>25.796069500000044</v>
      </c>
      <c r="U100">
        <f t="shared" si="9"/>
        <v>25.542438600000025</v>
      </c>
      <c r="V100">
        <f t="shared" si="10"/>
        <v>26.180058900000006</v>
      </c>
      <c r="W100">
        <f t="shared" si="11"/>
        <v>26.080076399999996</v>
      </c>
      <c r="Y100">
        <f t="shared" si="12"/>
        <v>24.5</v>
      </c>
    </row>
    <row r="101" spans="1:25" x14ac:dyDescent="0.25">
      <c r="A101">
        <v>0</v>
      </c>
      <c r="B101" s="1">
        <v>9.7200000000000004E-5</v>
      </c>
      <c r="C101" s="1">
        <v>9.2299999999999994E-5</v>
      </c>
      <c r="D101" s="1">
        <v>9.7200000000000004E-5</v>
      </c>
      <c r="E101" s="1">
        <v>7.1799999999999997E-5</v>
      </c>
      <c r="F101">
        <v>-1.233095E-3</v>
      </c>
      <c r="G101">
        <v>8.1949099999999999E-4</v>
      </c>
      <c r="H101">
        <v>299.00079740000001</v>
      </c>
      <c r="I101">
        <v>298.93098500000002</v>
      </c>
      <c r="J101">
        <v>298.68016849999998</v>
      </c>
      <c r="K101">
        <v>299.30881790000001</v>
      </c>
      <c r="L101">
        <v>299.2173598</v>
      </c>
      <c r="M101">
        <v>291.07541209999999</v>
      </c>
      <c r="N101">
        <v>0.87398437500000004</v>
      </c>
      <c r="O101" s="1">
        <v>-4.6199999999999997E-8</v>
      </c>
      <c r="Q101">
        <v>299.14999999999998</v>
      </c>
      <c r="R101">
        <v>30</v>
      </c>
      <c r="S101">
        <f t="shared" si="7"/>
        <v>25.850797400000033</v>
      </c>
      <c r="T101">
        <f t="shared" si="8"/>
        <v>25.780985000000044</v>
      </c>
      <c r="U101">
        <f t="shared" si="9"/>
        <v>25.530168500000002</v>
      </c>
      <c r="V101">
        <f t="shared" si="10"/>
        <v>26.158817900000031</v>
      </c>
      <c r="W101">
        <f t="shared" si="11"/>
        <v>26.06735980000002</v>
      </c>
      <c r="Y101">
        <f t="shared" si="12"/>
        <v>24.75</v>
      </c>
    </row>
    <row r="102" spans="1:25" x14ac:dyDescent="0.25">
      <c r="A102">
        <v>0</v>
      </c>
      <c r="B102" s="1">
        <v>9.7100000000000002E-5</v>
      </c>
      <c r="C102" s="1">
        <v>9.2200000000000005E-5</v>
      </c>
      <c r="D102" s="1">
        <v>9.7100000000000002E-5</v>
      </c>
      <c r="E102" s="1">
        <v>7.1699999999999995E-5</v>
      </c>
      <c r="F102">
        <v>-1.1597650000000001E-3</v>
      </c>
      <c r="G102">
        <v>8.18734E-4</v>
      </c>
      <c r="H102">
        <v>298.98086599999999</v>
      </c>
      <c r="I102">
        <v>298.9160225</v>
      </c>
      <c r="J102">
        <v>298.66794679999998</v>
      </c>
      <c r="K102">
        <v>299.28958089999998</v>
      </c>
      <c r="L102">
        <v>299.20678709999999</v>
      </c>
      <c r="M102">
        <v>290.95</v>
      </c>
      <c r="N102">
        <v>0.87</v>
      </c>
      <c r="O102" s="1">
        <v>-4.6100000000000003E-8</v>
      </c>
      <c r="Q102">
        <v>299.14999999999998</v>
      </c>
      <c r="R102">
        <v>30</v>
      </c>
      <c r="S102">
        <f t="shared" si="7"/>
        <v>25.830866000000015</v>
      </c>
      <c r="T102">
        <f t="shared" si="8"/>
        <v>25.76602250000002</v>
      </c>
      <c r="U102">
        <f t="shared" si="9"/>
        <v>25.517946800000004</v>
      </c>
      <c r="V102">
        <f t="shared" si="10"/>
        <v>26.139580899999999</v>
      </c>
      <c r="W102">
        <f t="shared" si="11"/>
        <v>26.056787100000008</v>
      </c>
      <c r="Y102">
        <f t="shared" si="12"/>
        <v>25</v>
      </c>
    </row>
    <row r="103" spans="1:25" x14ac:dyDescent="0.25">
      <c r="A103">
        <v>0</v>
      </c>
      <c r="B103" s="1">
        <v>9.7E-5</v>
      </c>
      <c r="C103" s="1">
        <v>9.2200000000000005E-5</v>
      </c>
      <c r="D103" s="1">
        <v>9.7E-5</v>
      </c>
      <c r="E103" s="1">
        <v>7.1699999999999995E-5</v>
      </c>
      <c r="F103">
        <v>-1.0544840000000001E-3</v>
      </c>
      <c r="G103">
        <v>8.18252E-4</v>
      </c>
      <c r="H103">
        <v>298.95782930000001</v>
      </c>
      <c r="I103">
        <v>298.90108090000001</v>
      </c>
      <c r="J103">
        <v>298.65573469999998</v>
      </c>
      <c r="K103">
        <v>299.27271159999998</v>
      </c>
      <c r="L103">
        <v>299.19892160000001</v>
      </c>
      <c r="M103">
        <v>290.8086538</v>
      </c>
      <c r="N103">
        <v>0.87632812500000001</v>
      </c>
      <c r="O103" s="1">
        <v>-4.6000000000000002E-8</v>
      </c>
      <c r="Q103">
        <v>299.14999999999998</v>
      </c>
      <c r="R103">
        <v>30</v>
      </c>
      <c r="S103">
        <f t="shared" si="7"/>
        <v>25.807829300000037</v>
      </c>
      <c r="T103">
        <f t="shared" si="8"/>
        <v>25.751080900000034</v>
      </c>
      <c r="U103">
        <f t="shared" si="9"/>
        <v>25.505734700000005</v>
      </c>
      <c r="V103">
        <f t="shared" si="10"/>
        <v>26.122711600000002</v>
      </c>
      <c r="W103">
        <f t="shared" si="11"/>
        <v>26.048921600000028</v>
      </c>
      <c r="Y103">
        <f t="shared" si="12"/>
        <v>25.25</v>
      </c>
    </row>
    <row r="104" spans="1:25" x14ac:dyDescent="0.25">
      <c r="A104">
        <v>0</v>
      </c>
      <c r="B104" s="1">
        <v>9.7200000000000004E-5</v>
      </c>
      <c r="C104" s="1">
        <v>9.2299999999999994E-5</v>
      </c>
      <c r="D104" s="1">
        <v>9.7200000000000004E-5</v>
      </c>
      <c r="E104" s="1">
        <v>7.1799999999999997E-5</v>
      </c>
      <c r="F104">
        <v>-9.3044999999999998E-4</v>
      </c>
      <c r="G104">
        <v>8.1919299999999996E-4</v>
      </c>
      <c r="H104">
        <v>298.93325800000002</v>
      </c>
      <c r="I104">
        <v>298.88584250000002</v>
      </c>
      <c r="J104">
        <v>298.64329309999999</v>
      </c>
      <c r="K104">
        <v>299.25751129999998</v>
      </c>
      <c r="L104">
        <v>299.19173169999999</v>
      </c>
      <c r="M104">
        <v>290.64999999999998</v>
      </c>
      <c r="N104">
        <v>0.885625</v>
      </c>
      <c r="O104" s="1">
        <v>-4.6100000000000003E-8</v>
      </c>
      <c r="Q104">
        <v>299.14999999999998</v>
      </c>
      <c r="R104">
        <v>30</v>
      </c>
      <c r="S104">
        <f t="shared" si="7"/>
        <v>25.783258000000046</v>
      </c>
      <c r="T104">
        <f t="shared" si="8"/>
        <v>25.735842500000047</v>
      </c>
      <c r="U104">
        <f t="shared" si="9"/>
        <v>25.493293100000017</v>
      </c>
      <c r="V104">
        <f t="shared" si="10"/>
        <v>26.107511299999999</v>
      </c>
      <c r="W104">
        <f t="shared" si="11"/>
        <v>26.041731700000014</v>
      </c>
      <c r="Y104">
        <f t="shared" si="12"/>
        <v>25.5</v>
      </c>
    </row>
    <row r="105" spans="1:25" x14ac:dyDescent="0.25">
      <c r="A105">
        <v>0</v>
      </c>
      <c r="B105" s="1">
        <v>9.7399999999999996E-5</v>
      </c>
      <c r="C105" s="1">
        <v>9.2499999999999999E-5</v>
      </c>
      <c r="D105" s="1">
        <v>9.7399999999999996E-5</v>
      </c>
      <c r="E105" s="1">
        <v>7.1899999999999999E-5</v>
      </c>
      <c r="F105">
        <v>-8.1182900000000002E-4</v>
      </c>
      <c r="G105">
        <v>8.2112199999999998E-4</v>
      </c>
      <c r="H105">
        <v>298.90913280000001</v>
      </c>
      <c r="I105">
        <v>298.87030809999999</v>
      </c>
      <c r="J105">
        <v>298.63069009999998</v>
      </c>
      <c r="K105">
        <v>299.24290889999997</v>
      </c>
      <c r="L105">
        <v>299.18439619999998</v>
      </c>
      <c r="M105">
        <v>290.49134620000001</v>
      </c>
      <c r="N105">
        <v>0.89460937500000004</v>
      </c>
      <c r="O105" s="1">
        <v>-4.6299999999999998E-8</v>
      </c>
      <c r="Q105">
        <v>299.14999999999998</v>
      </c>
      <c r="R105">
        <v>30</v>
      </c>
      <c r="S105">
        <f t="shared" si="7"/>
        <v>25.759132800000032</v>
      </c>
      <c r="T105">
        <f t="shared" si="8"/>
        <v>25.720308100000011</v>
      </c>
      <c r="U105">
        <f t="shared" si="9"/>
        <v>25.480690100000004</v>
      </c>
      <c r="V105">
        <f t="shared" si="10"/>
        <v>26.092908899999998</v>
      </c>
      <c r="W105">
        <f t="shared" si="11"/>
        <v>26.034396200000003</v>
      </c>
      <c r="Y105">
        <f t="shared" si="12"/>
        <v>25.75</v>
      </c>
    </row>
    <row r="106" spans="1:25" x14ac:dyDescent="0.25">
      <c r="A106">
        <v>0</v>
      </c>
      <c r="B106" s="1">
        <v>9.7499999999999998E-5</v>
      </c>
      <c r="C106" s="1">
        <v>9.2600000000000001E-5</v>
      </c>
      <c r="D106" s="1">
        <v>9.7499999999999998E-5</v>
      </c>
      <c r="E106" s="1">
        <v>7.2000000000000002E-5</v>
      </c>
      <c r="F106">
        <v>-7.1896000000000004E-4</v>
      </c>
      <c r="G106">
        <v>8.2249199999999997E-4</v>
      </c>
      <c r="H106">
        <v>298.88721190000001</v>
      </c>
      <c r="I106">
        <v>298.85477470000001</v>
      </c>
      <c r="J106">
        <v>298.61822000000001</v>
      </c>
      <c r="K106">
        <v>299.2271685</v>
      </c>
      <c r="L106">
        <v>299.17622729999999</v>
      </c>
      <c r="M106">
        <v>290.35000000000002</v>
      </c>
      <c r="N106">
        <v>0.9</v>
      </c>
      <c r="O106" s="1">
        <v>-4.6499999999999999E-8</v>
      </c>
      <c r="Q106">
        <v>299.14999999999998</v>
      </c>
      <c r="R106">
        <v>30</v>
      </c>
      <c r="S106">
        <f t="shared" si="7"/>
        <v>25.737211900000034</v>
      </c>
      <c r="T106">
        <f t="shared" si="8"/>
        <v>25.70477470000003</v>
      </c>
      <c r="U106">
        <f t="shared" si="9"/>
        <v>25.468220000000031</v>
      </c>
      <c r="V106">
        <f t="shared" si="10"/>
        <v>26.077168500000028</v>
      </c>
      <c r="W106">
        <f t="shared" si="11"/>
        <v>26.026227300000016</v>
      </c>
      <c r="Y106">
        <f t="shared" si="12"/>
        <v>26</v>
      </c>
    </row>
    <row r="107" spans="1:25" x14ac:dyDescent="0.25">
      <c r="A107">
        <v>0</v>
      </c>
      <c r="B107" s="1">
        <v>9.7800000000000006E-5</v>
      </c>
      <c r="C107" s="1">
        <v>9.2899999999999995E-5</v>
      </c>
      <c r="D107" s="1">
        <v>9.7800000000000006E-5</v>
      </c>
      <c r="E107" s="1">
        <v>7.2200000000000007E-5</v>
      </c>
      <c r="F107">
        <v>-7.0533399999999995E-4</v>
      </c>
      <c r="G107">
        <v>8.2461899999999996E-4</v>
      </c>
      <c r="H107">
        <v>298.86523599999998</v>
      </c>
      <c r="I107">
        <v>298.83991470000001</v>
      </c>
      <c r="J107">
        <v>298.60654649999998</v>
      </c>
      <c r="K107">
        <v>299.20743659999999</v>
      </c>
      <c r="L107">
        <v>299.165076</v>
      </c>
      <c r="M107">
        <v>290.36750660000001</v>
      </c>
      <c r="N107">
        <v>0.90281250000000002</v>
      </c>
      <c r="O107" s="1">
        <v>-4.6700000000000001E-8</v>
      </c>
      <c r="Q107">
        <v>299.14999999999998</v>
      </c>
      <c r="R107">
        <v>30</v>
      </c>
      <c r="S107">
        <f t="shared" si="7"/>
        <v>25.715236000000004</v>
      </c>
      <c r="T107">
        <f t="shared" si="8"/>
        <v>25.689914700000031</v>
      </c>
      <c r="U107">
        <f t="shared" si="9"/>
        <v>25.456546500000002</v>
      </c>
      <c r="V107">
        <f t="shared" si="10"/>
        <v>26.057436600000017</v>
      </c>
      <c r="W107">
        <f t="shared" si="11"/>
        <v>26.015076000000022</v>
      </c>
      <c r="Y107">
        <f t="shared" si="12"/>
        <v>26.25</v>
      </c>
    </row>
    <row r="108" spans="1:25" x14ac:dyDescent="0.25">
      <c r="A108">
        <v>0</v>
      </c>
      <c r="B108" s="1">
        <v>9.8200000000000002E-5</v>
      </c>
      <c r="C108" s="1">
        <v>9.3200000000000002E-5</v>
      </c>
      <c r="D108" s="1">
        <v>9.8200000000000002E-5</v>
      </c>
      <c r="E108" s="1">
        <v>7.25E-5</v>
      </c>
      <c r="F108">
        <v>-7.51741E-4</v>
      </c>
      <c r="G108">
        <v>8.2766000000000003E-4</v>
      </c>
      <c r="H108">
        <v>298.84047390000001</v>
      </c>
      <c r="I108">
        <v>298.82728500000002</v>
      </c>
      <c r="J108">
        <v>298.59718909999998</v>
      </c>
      <c r="K108">
        <v>299.18342200000001</v>
      </c>
      <c r="L108">
        <v>299.15143339999997</v>
      </c>
      <c r="M108">
        <v>290.57360740000001</v>
      </c>
      <c r="N108">
        <v>0.90500000000000003</v>
      </c>
      <c r="O108" s="1">
        <v>-4.7099999999999998E-8</v>
      </c>
      <c r="Q108">
        <v>299.14999999999998</v>
      </c>
      <c r="R108">
        <v>30</v>
      </c>
      <c r="S108">
        <f t="shared" si="7"/>
        <v>25.690473900000029</v>
      </c>
      <c r="T108">
        <f t="shared" si="8"/>
        <v>25.67728500000004</v>
      </c>
      <c r="U108">
        <f t="shared" si="9"/>
        <v>25.447189100000003</v>
      </c>
      <c r="V108">
        <f t="shared" si="10"/>
        <v>26.03342200000003</v>
      </c>
      <c r="W108">
        <f t="shared" si="11"/>
        <v>26.001433399999996</v>
      </c>
      <c r="Y108">
        <f t="shared" si="12"/>
        <v>26.5</v>
      </c>
    </row>
    <row r="109" spans="1:25" x14ac:dyDescent="0.25">
      <c r="A109">
        <v>0</v>
      </c>
      <c r="B109" s="1">
        <v>9.8400000000000007E-5</v>
      </c>
      <c r="C109" s="1">
        <v>9.3399999999999993E-5</v>
      </c>
      <c r="D109" s="1">
        <v>9.8400000000000007E-5</v>
      </c>
      <c r="E109" s="1">
        <v>7.2700000000000005E-5</v>
      </c>
      <c r="F109">
        <v>-8.1546899999999998E-4</v>
      </c>
      <c r="G109">
        <v>8.2970199999999998E-4</v>
      </c>
      <c r="H109">
        <v>298.8180486</v>
      </c>
      <c r="I109">
        <v>298.81682760000001</v>
      </c>
      <c r="J109">
        <v>298.58998279999997</v>
      </c>
      <c r="K109">
        <v>299.15692209999997</v>
      </c>
      <c r="L109">
        <v>299.13831950000002</v>
      </c>
      <c r="M109">
        <v>290.8179045</v>
      </c>
      <c r="N109">
        <v>0.90468749999999998</v>
      </c>
      <c r="O109" s="1">
        <v>-4.73E-8</v>
      </c>
      <c r="Q109">
        <v>299.14999999999998</v>
      </c>
      <c r="R109">
        <v>30</v>
      </c>
      <c r="S109">
        <f t="shared" si="7"/>
        <v>25.66804860000002</v>
      </c>
      <c r="T109">
        <f t="shared" si="8"/>
        <v>25.666827600000033</v>
      </c>
      <c r="U109">
        <f t="shared" si="9"/>
        <v>25.439982799999996</v>
      </c>
      <c r="V109">
        <f t="shared" si="10"/>
        <v>26.006922099999997</v>
      </c>
      <c r="W109">
        <f t="shared" si="11"/>
        <v>25.988319500000046</v>
      </c>
      <c r="Y109">
        <f t="shared" si="12"/>
        <v>26.75</v>
      </c>
    </row>
    <row r="110" spans="1:25" x14ac:dyDescent="0.25">
      <c r="A110">
        <v>0</v>
      </c>
      <c r="B110" s="1">
        <v>9.8599999999999998E-5</v>
      </c>
      <c r="C110" s="1">
        <v>9.3599999999999998E-5</v>
      </c>
      <c r="D110" s="1">
        <v>9.8599999999999998E-5</v>
      </c>
      <c r="E110" s="1">
        <v>7.2799999999999994E-5</v>
      </c>
      <c r="F110">
        <v>-8.4588100000000004E-4</v>
      </c>
      <c r="G110">
        <v>8.3106499999999997E-4</v>
      </c>
      <c r="H110">
        <v>298.80019620000002</v>
      </c>
      <c r="I110">
        <v>298.80701959999999</v>
      </c>
      <c r="J110">
        <v>298.58323009999998</v>
      </c>
      <c r="K110">
        <v>299.13175810000001</v>
      </c>
      <c r="L110">
        <v>299.1270897</v>
      </c>
      <c r="M110">
        <v>290.95</v>
      </c>
      <c r="N110">
        <v>0.9</v>
      </c>
      <c r="O110" s="1">
        <v>-4.7500000000000002E-8</v>
      </c>
      <c r="Q110">
        <v>299.14999999999998</v>
      </c>
      <c r="R110">
        <v>30</v>
      </c>
      <c r="S110">
        <f t="shared" si="7"/>
        <v>25.650196200000039</v>
      </c>
      <c r="T110">
        <f t="shared" si="8"/>
        <v>25.657019600000012</v>
      </c>
      <c r="U110">
        <f t="shared" si="9"/>
        <v>25.433230100000003</v>
      </c>
      <c r="V110">
        <f t="shared" si="10"/>
        <v>25.981758100000036</v>
      </c>
      <c r="W110">
        <f t="shared" si="11"/>
        <v>25.977089700000022</v>
      </c>
      <c r="Y110">
        <f t="shared" si="12"/>
        <v>27</v>
      </c>
    </row>
    <row r="111" spans="1:25" x14ac:dyDescent="0.25">
      <c r="A111">
        <v>0</v>
      </c>
      <c r="B111" s="1">
        <v>9.8599999999999998E-5</v>
      </c>
      <c r="C111" s="1">
        <v>9.3599999999999998E-5</v>
      </c>
      <c r="D111" s="1">
        <v>9.8599999999999998E-5</v>
      </c>
      <c r="E111" s="1">
        <v>7.2799999999999994E-5</v>
      </c>
      <c r="F111">
        <v>-7.8094600000000003E-4</v>
      </c>
      <c r="G111">
        <v>8.31473E-4</v>
      </c>
      <c r="H111">
        <v>298.7839323</v>
      </c>
      <c r="I111">
        <v>298.79571329999999</v>
      </c>
      <c r="J111">
        <v>298.5746446</v>
      </c>
      <c r="K111">
        <v>299.11142719999998</v>
      </c>
      <c r="L111">
        <v>299.11801250000002</v>
      </c>
      <c r="M111">
        <v>290.85734630000002</v>
      </c>
      <c r="N111">
        <v>0.89249999999999996</v>
      </c>
      <c r="O111" s="1">
        <v>-4.7500000000000002E-8</v>
      </c>
      <c r="Q111">
        <v>299.14999999999998</v>
      </c>
      <c r="R111">
        <v>30</v>
      </c>
      <c r="S111">
        <f t="shared" si="7"/>
        <v>25.633932300000026</v>
      </c>
      <c r="T111">
        <f t="shared" si="8"/>
        <v>25.645713300000011</v>
      </c>
      <c r="U111">
        <f t="shared" si="9"/>
        <v>25.424644600000022</v>
      </c>
      <c r="V111">
        <f t="shared" si="10"/>
        <v>25.961427200000003</v>
      </c>
      <c r="W111">
        <f t="shared" si="11"/>
        <v>25.968012500000043</v>
      </c>
      <c r="Y111">
        <f t="shared" si="12"/>
        <v>27.25</v>
      </c>
    </row>
    <row r="112" spans="1:25" x14ac:dyDescent="0.25">
      <c r="A112">
        <v>0</v>
      </c>
      <c r="B112" s="1">
        <v>9.8499999999999995E-5</v>
      </c>
      <c r="C112" s="1">
        <v>9.3599999999999998E-5</v>
      </c>
      <c r="D112" s="1">
        <v>9.8499999999999995E-5</v>
      </c>
      <c r="E112" s="1">
        <v>7.2799999999999994E-5</v>
      </c>
      <c r="F112">
        <v>-6.53073E-4</v>
      </c>
      <c r="G112">
        <v>8.30874E-4</v>
      </c>
      <c r="H112">
        <v>298.76554229999999</v>
      </c>
      <c r="I112">
        <v>298.78165890000002</v>
      </c>
      <c r="J112">
        <v>298.56307900000002</v>
      </c>
      <c r="K112">
        <v>299.0957161</v>
      </c>
      <c r="L112">
        <v>299.1088714</v>
      </c>
      <c r="M112">
        <v>290.62706150000002</v>
      </c>
      <c r="N112">
        <v>0.88500000000000001</v>
      </c>
      <c r="O112" s="1">
        <v>-4.7400000000000001E-8</v>
      </c>
      <c r="Q112">
        <v>299.14999999999998</v>
      </c>
      <c r="R112">
        <v>30</v>
      </c>
      <c r="S112">
        <f t="shared" si="7"/>
        <v>25.615542300000016</v>
      </c>
      <c r="T112">
        <f t="shared" si="8"/>
        <v>25.631658900000048</v>
      </c>
      <c r="U112">
        <f t="shared" si="9"/>
        <v>25.413079000000039</v>
      </c>
      <c r="V112">
        <f t="shared" si="10"/>
        <v>25.945716100000027</v>
      </c>
      <c r="W112">
        <f t="shared" si="11"/>
        <v>25.958871400000021</v>
      </c>
      <c r="Y112">
        <f t="shared" si="12"/>
        <v>27.5</v>
      </c>
    </row>
    <row r="113" spans="1:25" x14ac:dyDescent="0.25">
      <c r="A113">
        <v>0</v>
      </c>
      <c r="B113" s="1">
        <v>9.8400000000000007E-5</v>
      </c>
      <c r="C113" s="1">
        <v>9.3499999999999996E-5</v>
      </c>
      <c r="D113" s="1">
        <v>9.8400000000000007E-5</v>
      </c>
      <c r="E113" s="1">
        <v>7.2700000000000005E-5</v>
      </c>
      <c r="F113">
        <v>-5.4886599999999996E-4</v>
      </c>
      <c r="G113">
        <v>8.3010799999999997E-4</v>
      </c>
      <c r="H113">
        <v>298.74744040000002</v>
      </c>
      <c r="I113">
        <v>298.76604959999997</v>
      </c>
      <c r="J113">
        <v>298.55002450000001</v>
      </c>
      <c r="K113">
        <v>299.08600269999999</v>
      </c>
      <c r="L113">
        <v>299.0983774</v>
      </c>
      <c r="M113">
        <v>290.4082459</v>
      </c>
      <c r="N113">
        <v>0.87749999999999995</v>
      </c>
      <c r="O113" s="1">
        <v>-4.7400000000000001E-8</v>
      </c>
      <c r="Q113">
        <v>299.14999999999998</v>
      </c>
      <c r="R113">
        <v>30</v>
      </c>
      <c r="S113">
        <f t="shared" si="7"/>
        <v>25.597440400000039</v>
      </c>
      <c r="T113">
        <f t="shared" si="8"/>
        <v>25.616049599999997</v>
      </c>
      <c r="U113">
        <f t="shared" si="9"/>
        <v>25.400024500000029</v>
      </c>
      <c r="V113">
        <f t="shared" si="10"/>
        <v>25.936002700000017</v>
      </c>
      <c r="W113">
        <f t="shared" si="11"/>
        <v>25.948377400000027</v>
      </c>
      <c r="Y113">
        <f t="shared" si="12"/>
        <v>27.75</v>
      </c>
    </row>
    <row r="114" spans="1:25" x14ac:dyDescent="0.25">
      <c r="A114">
        <v>0</v>
      </c>
      <c r="B114" s="1">
        <v>9.8499999999999995E-5</v>
      </c>
      <c r="C114" s="1">
        <v>9.3499999999999996E-5</v>
      </c>
      <c r="D114" s="1">
        <v>9.8499999999999995E-5</v>
      </c>
      <c r="E114" s="1">
        <v>7.2700000000000005E-5</v>
      </c>
      <c r="F114">
        <v>-5.6368E-4</v>
      </c>
      <c r="G114">
        <v>8.3023299999999999E-4</v>
      </c>
      <c r="H114">
        <v>298.73512249999999</v>
      </c>
      <c r="I114">
        <v>298.75148159999998</v>
      </c>
      <c r="J114">
        <v>298.53840150000002</v>
      </c>
      <c r="K114">
        <v>299.08317410000001</v>
      </c>
      <c r="L114">
        <v>299.08682420000002</v>
      </c>
      <c r="M114">
        <v>290.35000000000002</v>
      </c>
      <c r="N114">
        <v>0.87</v>
      </c>
      <c r="O114" s="1">
        <v>-4.7400000000000001E-8</v>
      </c>
      <c r="Q114">
        <v>299.14999999999998</v>
      </c>
      <c r="R114">
        <v>30</v>
      </c>
      <c r="S114">
        <f t="shared" si="7"/>
        <v>25.585122500000011</v>
      </c>
      <c r="T114">
        <f t="shared" si="8"/>
        <v>25.6014816</v>
      </c>
      <c r="U114">
        <f t="shared" si="9"/>
        <v>25.388401500000043</v>
      </c>
      <c r="V114">
        <f t="shared" si="10"/>
        <v>25.933174100000031</v>
      </c>
      <c r="W114">
        <f t="shared" si="11"/>
        <v>25.936824200000046</v>
      </c>
      <c r="Y114">
        <f t="shared" si="12"/>
        <v>28</v>
      </c>
    </row>
    <row r="115" spans="1:25" x14ac:dyDescent="0.25">
      <c r="A115">
        <v>0</v>
      </c>
      <c r="B115" s="1">
        <v>9.8499999999999995E-5</v>
      </c>
      <c r="C115" s="1">
        <v>9.3499999999999996E-5</v>
      </c>
      <c r="D115" s="1">
        <v>9.8499999999999995E-5</v>
      </c>
      <c r="E115" s="1">
        <v>7.2700000000000005E-5</v>
      </c>
      <c r="F115">
        <v>-7.57133E-4</v>
      </c>
      <c r="G115">
        <v>8.3024599999999998E-4</v>
      </c>
      <c r="H115">
        <v>298.73421089999999</v>
      </c>
      <c r="I115">
        <v>298.74038059999998</v>
      </c>
      <c r="J115">
        <v>298.5305472</v>
      </c>
      <c r="K115">
        <v>299.084654</v>
      </c>
      <c r="L115">
        <v>299.07565749999998</v>
      </c>
      <c r="M115">
        <v>290.5278533</v>
      </c>
      <c r="N115">
        <v>0.86250000000000004</v>
      </c>
      <c r="O115" s="1">
        <v>-4.7400000000000001E-8</v>
      </c>
      <c r="Q115">
        <v>299.14999999999998</v>
      </c>
      <c r="R115">
        <v>30</v>
      </c>
      <c r="S115">
        <f t="shared" si="7"/>
        <v>25.584210900000016</v>
      </c>
      <c r="T115">
        <f t="shared" si="8"/>
        <v>25.590380600000003</v>
      </c>
      <c r="U115">
        <f t="shared" si="9"/>
        <v>25.380547200000024</v>
      </c>
      <c r="V115">
        <f t="shared" si="10"/>
        <v>25.934654000000023</v>
      </c>
      <c r="W115">
        <f t="shared" si="11"/>
        <v>25.9256575</v>
      </c>
      <c r="Y115">
        <f t="shared" si="12"/>
        <v>28.25</v>
      </c>
    </row>
    <row r="116" spans="1:25" x14ac:dyDescent="0.25">
      <c r="A116">
        <v>0</v>
      </c>
      <c r="B116" s="1">
        <v>9.5600000000000006E-5</v>
      </c>
      <c r="C116" s="1">
        <v>9.0799999999999998E-5</v>
      </c>
      <c r="D116" s="1">
        <v>9.5600000000000006E-5</v>
      </c>
      <c r="E116" s="1">
        <v>7.0599999999999995E-5</v>
      </c>
      <c r="F116">
        <v>-1.599928E-3</v>
      </c>
      <c r="G116">
        <v>8.0591199999999999E-4</v>
      </c>
      <c r="H116">
        <v>298.79750319999999</v>
      </c>
      <c r="I116">
        <v>298.71629200000001</v>
      </c>
      <c r="J116">
        <v>298.53025919999999</v>
      </c>
      <c r="K116">
        <v>299.07948750000003</v>
      </c>
      <c r="L116">
        <v>299.07821410000003</v>
      </c>
      <c r="M116">
        <v>290.84420290000003</v>
      </c>
      <c r="N116">
        <v>0.85499999999999998</v>
      </c>
      <c r="O116" s="1">
        <v>-4.4600000000000002E-8</v>
      </c>
      <c r="Q116">
        <v>299.14999999999998</v>
      </c>
      <c r="R116">
        <v>30</v>
      </c>
      <c r="S116">
        <f t="shared" si="7"/>
        <v>25.647503200000017</v>
      </c>
      <c r="T116">
        <f t="shared" si="8"/>
        <v>25.566292000000033</v>
      </c>
      <c r="U116">
        <f t="shared" si="9"/>
        <v>25.380259200000012</v>
      </c>
      <c r="V116">
        <f t="shared" si="10"/>
        <v>25.92948750000005</v>
      </c>
      <c r="W116">
        <f t="shared" si="11"/>
        <v>25.928214100000048</v>
      </c>
      <c r="Y116">
        <f t="shared" si="12"/>
        <v>28.5</v>
      </c>
    </row>
    <row r="117" spans="1:25" x14ac:dyDescent="0.25">
      <c r="A117">
        <v>0</v>
      </c>
      <c r="B117" s="1">
        <v>1.5500000000000001E-5</v>
      </c>
      <c r="C117" s="1">
        <v>1.4800000000000001E-5</v>
      </c>
      <c r="D117" s="1">
        <v>1.5500000000000001E-5</v>
      </c>
      <c r="E117" s="1">
        <v>1.15E-5</v>
      </c>
      <c r="F117">
        <v>-2.0655729999999998E-3</v>
      </c>
      <c r="G117">
        <v>1.3105199999999999E-4</v>
      </c>
      <c r="H117">
        <v>298.80953219999998</v>
      </c>
      <c r="I117">
        <v>298.73711200000002</v>
      </c>
      <c r="J117">
        <v>298.53317040000002</v>
      </c>
      <c r="K117">
        <v>299.07704619999998</v>
      </c>
      <c r="L117">
        <v>299.07612590000002</v>
      </c>
      <c r="M117">
        <v>291.18845110000001</v>
      </c>
      <c r="N117">
        <v>0.84750000000000003</v>
      </c>
      <c r="O117" s="1">
        <v>-1.1800000000000001E-9</v>
      </c>
      <c r="Q117">
        <v>299.14999999999998</v>
      </c>
      <c r="R117">
        <v>30</v>
      </c>
      <c r="S117">
        <f t="shared" si="7"/>
        <v>25.659532200000001</v>
      </c>
      <c r="T117">
        <f t="shared" si="8"/>
        <v>25.587112000000047</v>
      </c>
      <c r="U117">
        <f t="shared" si="9"/>
        <v>25.38317040000004</v>
      </c>
      <c r="V117">
        <f t="shared" si="10"/>
        <v>25.927046200000007</v>
      </c>
      <c r="W117">
        <f t="shared" si="11"/>
        <v>25.926125900000045</v>
      </c>
      <c r="Y117">
        <f t="shared" si="12"/>
        <v>28.75</v>
      </c>
    </row>
    <row r="118" spans="1:25" x14ac:dyDescent="0.25">
      <c r="A118">
        <v>0</v>
      </c>
      <c r="B118" s="1">
        <v>-1.5E-10</v>
      </c>
      <c r="C118" s="1">
        <v>-1.42E-10</v>
      </c>
      <c r="D118" s="1">
        <v>-1.5E-10</v>
      </c>
      <c r="E118" s="1">
        <v>-1.11E-10</v>
      </c>
      <c r="F118">
        <v>-2.0159969999999998E-3</v>
      </c>
      <c r="G118" s="1">
        <v>-1.26E-9</v>
      </c>
      <c r="H118">
        <v>298.81070690000001</v>
      </c>
      <c r="I118">
        <v>298.76777099999998</v>
      </c>
      <c r="J118">
        <v>298.54820219999999</v>
      </c>
      <c r="K118">
        <v>299.07454389999998</v>
      </c>
      <c r="L118">
        <v>299.08095479999997</v>
      </c>
      <c r="M118">
        <v>291.45</v>
      </c>
      <c r="N118">
        <v>0.84</v>
      </c>
      <c r="O118" s="1">
        <v>-1.0999999999999999E-19</v>
      </c>
      <c r="Q118">
        <v>299.14999999999998</v>
      </c>
      <c r="R118">
        <v>30</v>
      </c>
      <c r="S118">
        <f t="shared" si="7"/>
        <v>25.660706900000037</v>
      </c>
      <c r="T118">
        <f t="shared" si="8"/>
        <v>25.617771000000005</v>
      </c>
      <c r="U118">
        <f t="shared" si="9"/>
        <v>25.398202200000014</v>
      </c>
      <c r="V118">
        <f t="shared" si="10"/>
        <v>25.924543900000003</v>
      </c>
      <c r="W118">
        <f t="shared" si="11"/>
        <v>25.930954799999995</v>
      </c>
      <c r="Y118">
        <f t="shared" si="12"/>
        <v>29</v>
      </c>
    </row>
    <row r="119" spans="1:25" x14ac:dyDescent="0.25">
      <c r="A119">
        <v>0</v>
      </c>
      <c r="B119">
        <v>4.9139716020000002</v>
      </c>
      <c r="C119">
        <v>7.9468000000000004E-3</v>
      </c>
      <c r="D119">
        <v>-28.62219331</v>
      </c>
      <c r="E119">
        <v>-16.636482220000001</v>
      </c>
      <c r="F119">
        <v>-2.9285399999999999E-3</v>
      </c>
      <c r="G119" s="1">
        <v>1.19E-33</v>
      </c>
      <c r="H119">
        <v>298.81405339999998</v>
      </c>
      <c r="I119">
        <v>298.81624870000002</v>
      </c>
      <c r="J119">
        <v>298.56794029999998</v>
      </c>
      <c r="K119">
        <v>299.07460279999998</v>
      </c>
      <c r="L119">
        <v>299.27424630000002</v>
      </c>
      <c r="M119">
        <v>291.47690219999998</v>
      </c>
      <c r="N119">
        <v>0.84292968800000001</v>
      </c>
      <c r="O119" s="1">
        <v>1.03E-44</v>
      </c>
      <c r="Q119">
        <v>299.14999999999998</v>
      </c>
      <c r="R119">
        <v>30</v>
      </c>
      <c r="S119">
        <f t="shared" si="7"/>
        <v>25.6640534</v>
      </c>
      <c r="T119">
        <f t="shared" si="8"/>
        <v>25.66624870000004</v>
      </c>
      <c r="U119">
        <f t="shared" si="9"/>
        <v>25.417940299999998</v>
      </c>
      <c r="V119">
        <f t="shared" si="10"/>
        <v>25.924602800000002</v>
      </c>
      <c r="W119">
        <f t="shared" si="11"/>
        <v>26.124246300000038</v>
      </c>
      <c r="Y119">
        <f t="shared" si="12"/>
        <v>29.25</v>
      </c>
    </row>
    <row r="120" spans="1:25" x14ac:dyDescent="0.25">
      <c r="A120">
        <v>0</v>
      </c>
      <c r="B120" s="1">
        <v>2.6900000000000001E-13</v>
      </c>
      <c r="C120" s="1">
        <v>2.5600000000000002E-13</v>
      </c>
      <c r="D120" s="1">
        <v>2.6900000000000001E-13</v>
      </c>
      <c r="E120" s="1">
        <v>1.9900000000000001E-13</v>
      </c>
      <c r="F120">
        <v>-0.23392679</v>
      </c>
      <c r="G120" s="1">
        <v>2.2699999999999998E-12</v>
      </c>
      <c r="H120">
        <v>298.81972660000002</v>
      </c>
      <c r="I120">
        <v>298.88275149999998</v>
      </c>
      <c r="J120">
        <v>298.59175740000001</v>
      </c>
      <c r="K120">
        <v>299.07758710000002</v>
      </c>
      <c r="L120">
        <v>299.21217940000002</v>
      </c>
      <c r="M120">
        <v>291.33840579999998</v>
      </c>
      <c r="N120">
        <v>0.85781249999999998</v>
      </c>
      <c r="O120" s="1">
        <v>-3.5500000000000001E-25</v>
      </c>
      <c r="Q120">
        <v>299.14999999999998</v>
      </c>
      <c r="R120">
        <v>30</v>
      </c>
      <c r="S120">
        <f t="shared" si="7"/>
        <v>25.669726600000047</v>
      </c>
      <c r="T120">
        <f t="shared" si="8"/>
        <v>25.732751500000006</v>
      </c>
      <c r="U120">
        <f t="shared" si="9"/>
        <v>25.441757400000029</v>
      </c>
      <c r="V120">
        <f t="shared" si="10"/>
        <v>25.927587100000039</v>
      </c>
      <c r="W120">
        <f t="shared" si="11"/>
        <v>26.062179400000048</v>
      </c>
      <c r="Y120">
        <f t="shared" si="12"/>
        <v>29.5</v>
      </c>
    </row>
    <row r="121" spans="1:25" x14ac:dyDescent="0.25">
      <c r="A121">
        <v>0</v>
      </c>
      <c r="B121" s="1">
        <v>-2.6900000000000001E-13</v>
      </c>
      <c r="C121" s="1">
        <v>-2.5600000000000002E-13</v>
      </c>
      <c r="D121" s="1">
        <v>-2.6900000000000001E-13</v>
      </c>
      <c r="E121" s="1">
        <v>-1.9900000000000001E-13</v>
      </c>
      <c r="F121">
        <v>-0.23582465499999999</v>
      </c>
      <c r="G121" s="1">
        <v>-2.2699999999999998E-12</v>
      </c>
      <c r="H121">
        <v>298.82826010000002</v>
      </c>
      <c r="I121">
        <v>298.95976300000001</v>
      </c>
      <c r="J121">
        <v>298.6170113</v>
      </c>
      <c r="K121">
        <v>299.08374099999997</v>
      </c>
      <c r="L121">
        <v>299.2409629</v>
      </c>
      <c r="M121">
        <v>291.25570649999997</v>
      </c>
      <c r="N121">
        <v>0.87128906299999997</v>
      </c>
      <c r="O121" s="1">
        <v>-3.5500000000000001E-25</v>
      </c>
      <c r="Q121">
        <v>299.14999999999998</v>
      </c>
      <c r="R121">
        <v>30</v>
      </c>
      <c r="S121">
        <f t="shared" si="7"/>
        <v>25.678260100000045</v>
      </c>
      <c r="T121">
        <f t="shared" si="8"/>
        <v>25.809763000000032</v>
      </c>
      <c r="U121">
        <f t="shared" si="9"/>
        <v>25.467011300000024</v>
      </c>
      <c r="V121">
        <f t="shared" si="10"/>
        <v>25.933740999999998</v>
      </c>
      <c r="W121">
        <f t="shared" si="11"/>
        <v>26.090962900000022</v>
      </c>
      <c r="Y121">
        <f t="shared" si="12"/>
        <v>29.75</v>
      </c>
    </row>
    <row r="122" spans="1:25" x14ac:dyDescent="0.25">
      <c r="A122">
        <v>0</v>
      </c>
      <c r="B122" s="1">
        <v>2.6900000000000001E-13</v>
      </c>
      <c r="C122" s="1">
        <v>2.5600000000000002E-13</v>
      </c>
      <c r="D122" s="1">
        <v>2.6900000000000001E-13</v>
      </c>
      <c r="E122" s="1">
        <v>1.9900000000000001E-13</v>
      </c>
      <c r="F122">
        <v>-0.235685321</v>
      </c>
      <c r="G122" s="1">
        <v>2.2699999999999998E-12</v>
      </c>
      <c r="H122">
        <v>298.84262910000001</v>
      </c>
      <c r="I122">
        <v>299.05022129999998</v>
      </c>
      <c r="J122">
        <v>298.64700900000003</v>
      </c>
      <c r="K122">
        <v>299.09533490000001</v>
      </c>
      <c r="L122">
        <v>299.2679559</v>
      </c>
      <c r="M122">
        <v>291.45</v>
      </c>
      <c r="N122">
        <v>0.87</v>
      </c>
      <c r="O122" s="1">
        <v>-3.5500000000000001E-25</v>
      </c>
      <c r="Q122">
        <v>299.14999999999998</v>
      </c>
      <c r="R122">
        <v>30</v>
      </c>
      <c r="S122">
        <f t="shared" si="7"/>
        <v>25.692629100000033</v>
      </c>
      <c r="T122">
        <f t="shared" si="8"/>
        <v>25.900221299999998</v>
      </c>
      <c r="U122">
        <f t="shared" si="9"/>
        <v>25.497009000000048</v>
      </c>
      <c r="V122">
        <f t="shared" si="10"/>
        <v>25.945334900000034</v>
      </c>
      <c r="W122">
        <f t="shared" si="11"/>
        <v>26.117955900000027</v>
      </c>
      <c r="Y122">
        <f t="shared" si="12"/>
        <v>30</v>
      </c>
    </row>
    <row r="123" spans="1:25" x14ac:dyDescent="0.25">
      <c r="A123">
        <v>0</v>
      </c>
      <c r="B123" s="1">
        <v>2.6900000000000001E-13</v>
      </c>
      <c r="C123" s="1">
        <v>2.5600000000000002E-13</v>
      </c>
      <c r="D123" s="1">
        <v>2.6900000000000001E-13</v>
      </c>
      <c r="E123" s="1">
        <v>1.9900000000000001E-13</v>
      </c>
      <c r="F123">
        <v>-0.23362048199999999</v>
      </c>
      <c r="G123" s="1">
        <v>2.2699999999999998E-12</v>
      </c>
      <c r="H123">
        <v>298.86503169999997</v>
      </c>
      <c r="I123">
        <v>299.1598765</v>
      </c>
      <c r="J123">
        <v>298.68062550000002</v>
      </c>
      <c r="K123">
        <v>299.11370479999999</v>
      </c>
      <c r="L123">
        <v>299.2902277</v>
      </c>
      <c r="M123">
        <v>292.09835600000002</v>
      </c>
      <c r="N123">
        <v>0.85472656300000005</v>
      </c>
      <c r="O123" s="1">
        <v>-3.5500000000000001E-25</v>
      </c>
      <c r="Q123">
        <v>299.14999999999998</v>
      </c>
      <c r="R123">
        <v>30</v>
      </c>
      <c r="S123">
        <f t="shared" si="7"/>
        <v>25.715031699999997</v>
      </c>
      <c r="T123">
        <f t="shared" si="8"/>
        <v>26.009876500000018</v>
      </c>
      <c r="U123">
        <f t="shared" si="9"/>
        <v>25.530625500000042</v>
      </c>
      <c r="V123">
        <f t="shared" si="10"/>
        <v>25.963704800000016</v>
      </c>
      <c r="W123">
        <f t="shared" si="11"/>
        <v>26.140227700000025</v>
      </c>
      <c r="Y123">
        <f t="shared" si="12"/>
        <v>30.25</v>
      </c>
    </row>
    <row r="124" spans="1:25" x14ac:dyDescent="0.25">
      <c r="A124">
        <v>0</v>
      </c>
      <c r="B124" s="1">
        <v>5.3900000000000003E-13</v>
      </c>
      <c r="C124" s="1">
        <v>5.1200000000000004E-13</v>
      </c>
      <c r="D124" s="1">
        <v>5.3900000000000003E-13</v>
      </c>
      <c r="E124" s="1">
        <v>3.9800000000000002E-13</v>
      </c>
      <c r="F124">
        <v>-0.23105766999999999</v>
      </c>
      <c r="G124" s="1">
        <v>4.5399999999999996E-12</v>
      </c>
      <c r="H124">
        <v>298.89889169999998</v>
      </c>
      <c r="I124">
        <v>299.29304509999997</v>
      </c>
      <c r="J124">
        <v>298.72059689999998</v>
      </c>
      <c r="K124">
        <v>299.14188289999998</v>
      </c>
      <c r="L124">
        <v>299.3152973</v>
      </c>
      <c r="M124">
        <v>293.0557609</v>
      </c>
      <c r="N124">
        <v>0.835729167</v>
      </c>
      <c r="O124" s="1">
        <v>-1.42E-24</v>
      </c>
      <c r="Q124">
        <v>299.14999999999998</v>
      </c>
      <c r="R124">
        <v>30</v>
      </c>
      <c r="S124">
        <f t="shared" si="7"/>
        <v>25.748891700000001</v>
      </c>
      <c r="T124">
        <f t="shared" si="8"/>
        <v>26.143045099999995</v>
      </c>
      <c r="U124">
        <f t="shared" si="9"/>
        <v>25.570596899999998</v>
      </c>
      <c r="V124">
        <f t="shared" si="10"/>
        <v>25.991882900000007</v>
      </c>
      <c r="W124">
        <f t="shared" si="11"/>
        <v>26.16529730000002</v>
      </c>
      <c r="Y124">
        <f t="shared" si="12"/>
        <v>30.5</v>
      </c>
    </row>
    <row r="125" spans="1:25" x14ac:dyDescent="0.25">
      <c r="A125">
        <v>0</v>
      </c>
      <c r="B125" s="1">
        <v>2.6900000000000001E-13</v>
      </c>
      <c r="C125" s="1">
        <v>2.5600000000000002E-13</v>
      </c>
      <c r="D125" s="1">
        <v>2.6900000000000001E-13</v>
      </c>
      <c r="E125" s="1">
        <v>1.9900000000000001E-13</v>
      </c>
      <c r="F125">
        <v>-0.227741368</v>
      </c>
      <c r="G125" s="1">
        <v>2.2699999999999998E-12</v>
      </c>
      <c r="H125">
        <v>298.94123089999999</v>
      </c>
      <c r="I125">
        <v>299.42901879999999</v>
      </c>
      <c r="J125">
        <v>298.76120650000001</v>
      </c>
      <c r="K125">
        <v>299.1767165</v>
      </c>
      <c r="L125">
        <v>299.34376900000001</v>
      </c>
      <c r="M125">
        <v>294.06028529999998</v>
      </c>
      <c r="N125">
        <v>0.81386718800000002</v>
      </c>
      <c r="O125" s="1">
        <v>-3.5500000000000001E-25</v>
      </c>
      <c r="Q125">
        <v>299.14999999999998</v>
      </c>
      <c r="R125">
        <v>30</v>
      </c>
      <c r="S125">
        <f t="shared" si="7"/>
        <v>25.791230900000016</v>
      </c>
      <c r="T125">
        <f t="shared" si="8"/>
        <v>26.279018800000017</v>
      </c>
      <c r="U125">
        <f t="shared" si="9"/>
        <v>25.611206500000037</v>
      </c>
      <c r="V125">
        <f t="shared" si="10"/>
        <v>26.02671650000002</v>
      </c>
      <c r="W125">
        <f t="shared" si="11"/>
        <v>26.193769000000032</v>
      </c>
      <c r="Y125">
        <f t="shared" si="12"/>
        <v>30.75</v>
      </c>
    </row>
    <row r="126" spans="1:25" x14ac:dyDescent="0.25">
      <c r="A126">
        <v>0</v>
      </c>
      <c r="B126" s="1">
        <v>2.72E-11</v>
      </c>
      <c r="C126" s="1">
        <v>2.5800000000000001E-11</v>
      </c>
      <c r="D126" s="1">
        <v>2.72E-11</v>
      </c>
      <c r="E126" s="1">
        <v>2.01E-11</v>
      </c>
      <c r="F126">
        <v>-0.223967306</v>
      </c>
      <c r="G126" s="1">
        <v>2.2900000000000001E-10</v>
      </c>
      <c r="H126">
        <v>298.98799689999998</v>
      </c>
      <c r="I126">
        <v>299.569796</v>
      </c>
      <c r="J126">
        <v>298.80425330000003</v>
      </c>
      <c r="K126">
        <v>299.21516300000002</v>
      </c>
      <c r="L126">
        <v>299.38251880000001</v>
      </c>
      <c r="M126">
        <v>294.85000000000002</v>
      </c>
      <c r="N126">
        <v>0.79</v>
      </c>
      <c r="O126" s="1">
        <v>-3.6199999999999997E-21</v>
      </c>
      <c r="Q126">
        <v>299.14999999999998</v>
      </c>
      <c r="R126">
        <v>26</v>
      </c>
      <c r="S126">
        <f t="shared" si="7"/>
        <v>25.837996900000007</v>
      </c>
      <c r="T126">
        <f t="shared" si="8"/>
        <v>26.419796000000019</v>
      </c>
      <c r="U126">
        <f t="shared" si="9"/>
        <v>25.65425330000005</v>
      </c>
      <c r="V126">
        <f t="shared" si="10"/>
        <v>26.065163000000041</v>
      </c>
      <c r="W126">
        <f t="shared" si="11"/>
        <v>26.232518800000037</v>
      </c>
      <c r="Y126">
        <f t="shared" si="12"/>
        <v>31</v>
      </c>
    </row>
    <row r="127" spans="1:25" x14ac:dyDescent="0.25">
      <c r="A127">
        <v>0</v>
      </c>
      <c r="B127">
        <v>5.1409756000000001E-2</v>
      </c>
      <c r="C127">
        <v>9.5182224999999995E-2</v>
      </c>
      <c r="D127">
        <v>5.1409756000000001E-2</v>
      </c>
      <c r="E127">
        <v>4.1036613E-2</v>
      </c>
      <c r="F127">
        <v>-9.0168803000000006E-2</v>
      </c>
      <c r="G127">
        <v>0.68845927900000004</v>
      </c>
      <c r="H127">
        <v>298.7243689</v>
      </c>
      <c r="I127">
        <v>299.22121120000003</v>
      </c>
      <c r="J127">
        <v>298.5343499</v>
      </c>
      <c r="K127">
        <v>298.89226459999998</v>
      </c>
      <c r="L127">
        <v>299.20939809999999</v>
      </c>
      <c r="M127">
        <v>295.4156696</v>
      </c>
      <c r="N127">
        <v>0.76504687500000002</v>
      </c>
      <c r="O127">
        <v>2016.447958</v>
      </c>
      <c r="Q127">
        <v>299.14999999999998</v>
      </c>
      <c r="R127">
        <v>26</v>
      </c>
      <c r="S127">
        <f t="shared" si="7"/>
        <v>25.574368900000024</v>
      </c>
      <c r="T127">
        <f t="shared" si="8"/>
        <v>26.07121120000005</v>
      </c>
      <c r="U127">
        <f t="shared" si="9"/>
        <v>25.384349900000018</v>
      </c>
      <c r="V127">
        <f t="shared" si="10"/>
        <v>25.742264599999999</v>
      </c>
      <c r="W127">
        <f t="shared" si="11"/>
        <v>26.05939810000001</v>
      </c>
      <c r="Y127">
        <f t="shared" si="12"/>
        <v>31.25</v>
      </c>
    </row>
    <row r="128" spans="1:25" x14ac:dyDescent="0.25">
      <c r="A128">
        <v>0</v>
      </c>
      <c r="B128">
        <v>5.0815988999999999E-2</v>
      </c>
      <c r="C128">
        <v>0.21923495300000001</v>
      </c>
      <c r="D128">
        <v>5.0815930000000002E-2</v>
      </c>
      <c r="E128">
        <v>7.3562285000000005E-2</v>
      </c>
      <c r="F128">
        <v>-7.1672745999999996E-2</v>
      </c>
      <c r="G128">
        <v>1.1166379019999999</v>
      </c>
      <c r="H128">
        <v>298.5362538</v>
      </c>
      <c r="I128">
        <v>298.81424279999999</v>
      </c>
      <c r="J128">
        <v>298.36510909999998</v>
      </c>
      <c r="K128">
        <v>298.57739579999998</v>
      </c>
      <c r="L128">
        <v>298.9236525</v>
      </c>
      <c r="M128">
        <v>295.94678570000002</v>
      </c>
      <c r="N128">
        <v>0.73970833300000005</v>
      </c>
      <c r="O128">
        <v>4553.5149620000002</v>
      </c>
      <c r="Q128">
        <v>299.14999999999998</v>
      </c>
      <c r="R128">
        <v>26</v>
      </c>
      <c r="S128">
        <f t="shared" si="7"/>
        <v>25.38625380000002</v>
      </c>
      <c r="T128">
        <f t="shared" si="8"/>
        <v>25.664242800000011</v>
      </c>
      <c r="U128">
        <f t="shared" si="9"/>
        <v>25.215109100000006</v>
      </c>
      <c r="V128">
        <f t="shared" si="10"/>
        <v>25.427395799999999</v>
      </c>
      <c r="W128">
        <f t="shared" si="11"/>
        <v>25.773652500000026</v>
      </c>
      <c r="Y128">
        <f t="shared" si="12"/>
        <v>31.5</v>
      </c>
    </row>
    <row r="129" spans="1:25" x14ac:dyDescent="0.25">
      <c r="A129">
        <v>0</v>
      </c>
      <c r="B129">
        <v>5.0580636999999998E-2</v>
      </c>
      <c r="C129">
        <v>0.19740443999999999</v>
      </c>
      <c r="D129">
        <v>5.0580636999999998E-2</v>
      </c>
      <c r="E129">
        <v>6.9515104999999994E-2</v>
      </c>
      <c r="F129">
        <v>-4.6698437000000002E-2</v>
      </c>
      <c r="G129">
        <v>1.0876154520000001</v>
      </c>
      <c r="H129">
        <v>298.5263324</v>
      </c>
      <c r="I129">
        <v>298.90929679999999</v>
      </c>
      <c r="J129">
        <v>298.35408710000002</v>
      </c>
      <c r="K129">
        <v>298.56823910000003</v>
      </c>
      <c r="L129">
        <v>298.93203890000001</v>
      </c>
      <c r="M129">
        <v>296.47950889999998</v>
      </c>
      <c r="N129">
        <v>0.71451562499999999</v>
      </c>
      <c r="O129">
        <v>7434.6824189999998</v>
      </c>
      <c r="Q129">
        <v>299.14999999999998</v>
      </c>
      <c r="R129">
        <v>26</v>
      </c>
      <c r="S129">
        <f t="shared" si="7"/>
        <v>25.376332400000024</v>
      </c>
      <c r="T129">
        <f t="shared" si="8"/>
        <v>25.759296800000016</v>
      </c>
      <c r="U129">
        <f t="shared" si="9"/>
        <v>25.204087100000038</v>
      </c>
      <c r="V129">
        <f t="shared" si="10"/>
        <v>25.418239100000051</v>
      </c>
      <c r="W129">
        <f t="shared" si="11"/>
        <v>25.782038900000032</v>
      </c>
      <c r="Y129">
        <f t="shared" si="12"/>
        <v>31.75</v>
      </c>
    </row>
    <row r="130" spans="1:25" x14ac:dyDescent="0.25">
      <c r="A130">
        <v>0</v>
      </c>
      <c r="B130">
        <v>5.0807427000000002E-2</v>
      </c>
      <c r="C130">
        <v>0.15960022400000001</v>
      </c>
      <c r="D130">
        <v>5.0807427000000002E-2</v>
      </c>
      <c r="E130">
        <v>4.0591505E-2</v>
      </c>
      <c r="F130">
        <v>8.8566550999999993E-2</v>
      </c>
      <c r="G130">
        <v>1.177916631</v>
      </c>
      <c r="H130">
        <v>298.50448399999999</v>
      </c>
      <c r="I130">
        <v>299.00002649999999</v>
      </c>
      <c r="J130">
        <v>298.33480209999999</v>
      </c>
      <c r="K130">
        <v>298.5933655</v>
      </c>
      <c r="L130">
        <v>298.96491850000001</v>
      </c>
      <c r="M130">
        <v>297.05</v>
      </c>
      <c r="N130">
        <v>0.69</v>
      </c>
      <c r="O130">
        <v>4770.1475119999996</v>
      </c>
      <c r="Q130">
        <v>299.14999999999998</v>
      </c>
      <c r="R130">
        <v>26</v>
      </c>
      <c r="S130">
        <f t="shared" si="7"/>
        <v>25.354484000000014</v>
      </c>
      <c r="T130">
        <f t="shared" si="8"/>
        <v>25.850026500000013</v>
      </c>
      <c r="U130">
        <f t="shared" si="9"/>
        <v>25.184802100000013</v>
      </c>
      <c r="V130">
        <f t="shared" si="10"/>
        <v>25.443365500000027</v>
      </c>
      <c r="W130">
        <f t="shared" si="11"/>
        <v>25.814918500000033</v>
      </c>
      <c r="Y130">
        <f t="shared" si="12"/>
        <v>32</v>
      </c>
    </row>
    <row r="131" spans="1:25" x14ac:dyDescent="0.25">
      <c r="A131">
        <v>0</v>
      </c>
      <c r="B131">
        <v>5.1038479999999997E-2</v>
      </c>
      <c r="C131">
        <v>0.103891055</v>
      </c>
      <c r="D131">
        <v>5.1038479999999997E-2</v>
      </c>
      <c r="E131">
        <v>4.0762387999999997E-2</v>
      </c>
      <c r="F131">
        <v>-7.8379054000000004E-2</v>
      </c>
      <c r="G131">
        <v>0.69497183699999998</v>
      </c>
      <c r="H131">
        <v>298.80732239999998</v>
      </c>
      <c r="I131">
        <v>299.4958542</v>
      </c>
      <c r="J131">
        <v>298.61758850000001</v>
      </c>
      <c r="K131">
        <v>298.91388819999997</v>
      </c>
      <c r="L131">
        <v>299.24575950000002</v>
      </c>
      <c r="M131">
        <v>297.73049109999999</v>
      </c>
      <c r="N131">
        <v>0.66630468799999998</v>
      </c>
      <c r="O131">
        <v>4017.9331550000002</v>
      </c>
      <c r="Q131">
        <v>299.14999999999998</v>
      </c>
      <c r="R131">
        <v>26</v>
      </c>
      <c r="S131">
        <f t="shared" ref="S131:S194" si="13">H131-273.15</f>
        <v>25.657322399999998</v>
      </c>
      <c r="T131">
        <f t="shared" ref="T131:T194" si="14">I131-273.15</f>
        <v>26.345854200000019</v>
      </c>
      <c r="U131">
        <f t="shared" ref="U131:U194" si="15">J131-273.15</f>
        <v>25.467588500000033</v>
      </c>
      <c r="V131">
        <f t="shared" ref="V131:V194" si="16">K131-273.15</f>
        <v>25.763888199999997</v>
      </c>
      <c r="W131">
        <f t="shared" ref="W131:W194" si="17">L131-273.15</f>
        <v>26.095759500000042</v>
      </c>
      <c r="Y131">
        <f t="shared" si="12"/>
        <v>32.25</v>
      </c>
    </row>
    <row r="132" spans="1:25" x14ac:dyDescent="0.25">
      <c r="A132">
        <v>0</v>
      </c>
      <c r="B132">
        <v>5.1044803E-2</v>
      </c>
      <c r="C132">
        <v>5.0988459999999999E-2</v>
      </c>
      <c r="D132">
        <v>5.1044803E-2</v>
      </c>
      <c r="E132">
        <v>4.0767141999999999E-2</v>
      </c>
      <c r="F132">
        <v>-0.15792752700000001</v>
      </c>
      <c r="G132">
        <v>0.42886302900000001</v>
      </c>
      <c r="H132">
        <v>299.21569469999997</v>
      </c>
      <c r="I132">
        <v>300.06385369999998</v>
      </c>
      <c r="J132">
        <v>298.9944418</v>
      </c>
      <c r="K132">
        <v>299.31371059999998</v>
      </c>
      <c r="L132">
        <v>299.58253550000001</v>
      </c>
      <c r="M132">
        <v>298.49654759999999</v>
      </c>
      <c r="N132">
        <v>0.64331249999999995</v>
      </c>
      <c r="O132">
        <v>1700.2979130000001</v>
      </c>
      <c r="Q132">
        <v>299.14999999999998</v>
      </c>
      <c r="R132">
        <v>26</v>
      </c>
      <c r="S132">
        <f t="shared" si="13"/>
        <v>26.065694699999995</v>
      </c>
      <c r="T132">
        <f t="shared" si="14"/>
        <v>26.913853700000004</v>
      </c>
      <c r="U132">
        <f t="shared" si="15"/>
        <v>25.844441800000027</v>
      </c>
      <c r="V132">
        <f t="shared" si="16"/>
        <v>26.163710600000002</v>
      </c>
      <c r="W132">
        <f t="shared" si="17"/>
        <v>26.432535500000029</v>
      </c>
      <c r="Y132">
        <f t="shared" ref="Y132:Y195" si="18">Y131+0.25</f>
        <v>32.5</v>
      </c>
    </row>
    <row r="133" spans="1:25" x14ac:dyDescent="0.25">
      <c r="A133">
        <v>0</v>
      </c>
      <c r="B133">
        <v>5.0669506000000003E-2</v>
      </c>
      <c r="C133">
        <v>0.15184171099999999</v>
      </c>
      <c r="D133">
        <v>5.0669506000000003E-2</v>
      </c>
      <c r="E133">
        <v>4.0489852999999999E-2</v>
      </c>
      <c r="F133">
        <v>-0.104608696</v>
      </c>
      <c r="G133">
        <v>0.71822296500000005</v>
      </c>
      <c r="H133">
        <v>299.5004667</v>
      </c>
      <c r="I133">
        <v>300.06816359999999</v>
      </c>
      <c r="J133">
        <v>299.30731109999999</v>
      </c>
      <c r="K133">
        <v>299.5097126</v>
      </c>
      <c r="L133">
        <v>299.71242289999998</v>
      </c>
      <c r="M133">
        <v>299.23933039999997</v>
      </c>
      <c r="N133">
        <v>0.62116406300000004</v>
      </c>
      <c r="O133">
        <v>8102.1138149999997</v>
      </c>
      <c r="Q133">
        <v>299.14999999999998</v>
      </c>
      <c r="R133">
        <v>26</v>
      </c>
      <c r="S133">
        <f t="shared" si="13"/>
        <v>26.350466700000027</v>
      </c>
      <c r="T133">
        <f t="shared" si="14"/>
        <v>26.918163600000014</v>
      </c>
      <c r="U133">
        <f t="shared" si="15"/>
        <v>26.157311100000015</v>
      </c>
      <c r="V133">
        <f t="shared" si="16"/>
        <v>26.359712600000023</v>
      </c>
      <c r="W133">
        <f t="shared" si="17"/>
        <v>26.562422900000001</v>
      </c>
      <c r="Y133">
        <f t="shared" si="18"/>
        <v>32.75</v>
      </c>
    </row>
    <row r="134" spans="1:25" x14ac:dyDescent="0.25">
      <c r="A134">
        <v>0</v>
      </c>
      <c r="B134">
        <v>0.10203024400000001</v>
      </c>
      <c r="C134">
        <v>0.379702131</v>
      </c>
      <c r="D134">
        <v>5.2309367000000002E-2</v>
      </c>
      <c r="E134">
        <v>0.112447979</v>
      </c>
      <c r="F134">
        <v>-6.1973813000000003E-2</v>
      </c>
      <c r="G134">
        <v>1.685861177</v>
      </c>
      <c r="H134">
        <v>299.44780029999998</v>
      </c>
      <c r="I134">
        <v>299.65761950000001</v>
      </c>
      <c r="J134">
        <v>299.39291370000001</v>
      </c>
      <c r="K134">
        <v>299.2919114</v>
      </c>
      <c r="L134">
        <v>299.48880100000002</v>
      </c>
      <c r="M134">
        <v>299.85000000000002</v>
      </c>
      <c r="N134">
        <v>0.6</v>
      </c>
      <c r="O134">
        <v>11748.799489999999</v>
      </c>
      <c r="Q134">
        <v>299.14999999999998</v>
      </c>
      <c r="R134">
        <v>26</v>
      </c>
      <c r="S134">
        <f t="shared" si="13"/>
        <v>26.297800300000006</v>
      </c>
      <c r="T134">
        <f t="shared" si="14"/>
        <v>26.507619500000033</v>
      </c>
      <c r="U134">
        <f t="shared" si="15"/>
        <v>26.242913700000031</v>
      </c>
      <c r="V134">
        <f t="shared" si="16"/>
        <v>26.141911400000026</v>
      </c>
      <c r="W134">
        <f t="shared" si="17"/>
        <v>26.338801000000046</v>
      </c>
      <c r="Y134">
        <f t="shared" si="18"/>
        <v>33</v>
      </c>
    </row>
    <row r="135" spans="1:25" x14ac:dyDescent="0.25">
      <c r="A135">
        <v>0</v>
      </c>
      <c r="B135">
        <v>0.23086193699999999</v>
      </c>
      <c r="C135">
        <v>0.42875460300000001</v>
      </c>
      <c r="D135">
        <v>0.120230477</v>
      </c>
      <c r="E135">
        <v>0.19112237100000001</v>
      </c>
      <c r="F135">
        <v>-1.1091729999999999E-2</v>
      </c>
      <c r="G135">
        <v>2.2938385590000001</v>
      </c>
      <c r="H135">
        <v>298.90925609999999</v>
      </c>
      <c r="I135">
        <v>299.23928380000001</v>
      </c>
      <c r="J135">
        <v>298.91449010000002</v>
      </c>
      <c r="K135">
        <v>298.78829580000001</v>
      </c>
      <c r="L135">
        <v>299.16473689999998</v>
      </c>
      <c r="M135">
        <v>300.15828119999998</v>
      </c>
      <c r="N135">
        <v>0.58078125000000003</v>
      </c>
      <c r="O135">
        <v>16067.745370000001</v>
      </c>
      <c r="Q135">
        <v>299.14999999999998</v>
      </c>
      <c r="R135">
        <v>26</v>
      </c>
      <c r="S135">
        <f t="shared" si="13"/>
        <v>25.759256100000016</v>
      </c>
      <c r="T135">
        <f t="shared" si="14"/>
        <v>26.089283800000032</v>
      </c>
      <c r="U135">
        <f t="shared" si="15"/>
        <v>25.764490100000046</v>
      </c>
      <c r="V135">
        <f t="shared" si="16"/>
        <v>25.638295800000037</v>
      </c>
      <c r="W135">
        <f t="shared" si="17"/>
        <v>26.014736900000003</v>
      </c>
      <c r="Y135">
        <f t="shared" si="18"/>
        <v>33.25</v>
      </c>
    </row>
    <row r="136" spans="1:25" x14ac:dyDescent="0.25">
      <c r="A136">
        <v>0</v>
      </c>
      <c r="B136">
        <v>0.275578712</v>
      </c>
      <c r="C136">
        <v>0.36058080399999998</v>
      </c>
      <c r="D136">
        <v>0.206990234</v>
      </c>
      <c r="E136">
        <v>0.176558778</v>
      </c>
      <c r="F136">
        <v>0.11009693299999999</v>
      </c>
      <c r="G136">
        <v>2.3573678130000002</v>
      </c>
      <c r="H136">
        <v>298.7230874</v>
      </c>
      <c r="I136">
        <v>299.22726460000001</v>
      </c>
      <c r="J136">
        <v>298.57626310000001</v>
      </c>
      <c r="K136">
        <v>298.68725819999997</v>
      </c>
      <c r="L136">
        <v>299.20605790000002</v>
      </c>
      <c r="M136">
        <v>300.2054167</v>
      </c>
      <c r="N136">
        <v>0.56437499999999996</v>
      </c>
      <c r="O136">
        <v>16570.691080000001</v>
      </c>
      <c r="Q136">
        <v>299.14999999999998</v>
      </c>
      <c r="R136">
        <v>26</v>
      </c>
      <c r="S136">
        <f t="shared" si="13"/>
        <v>25.57308740000002</v>
      </c>
      <c r="T136">
        <f t="shared" si="14"/>
        <v>26.077264600000035</v>
      </c>
      <c r="U136">
        <f t="shared" si="15"/>
        <v>25.426263100000028</v>
      </c>
      <c r="V136">
        <f t="shared" si="16"/>
        <v>25.537258199999997</v>
      </c>
      <c r="W136">
        <f t="shared" si="17"/>
        <v>26.056057900000042</v>
      </c>
      <c r="Y136">
        <f t="shared" si="18"/>
        <v>33.5</v>
      </c>
    </row>
    <row r="137" spans="1:25" x14ac:dyDescent="0.25">
      <c r="A137">
        <v>0</v>
      </c>
      <c r="B137">
        <v>0.18942329199999999</v>
      </c>
      <c r="C137">
        <v>0.33205972700000003</v>
      </c>
      <c r="D137">
        <v>0.135749121</v>
      </c>
      <c r="E137">
        <v>0.13194536800000001</v>
      </c>
      <c r="F137">
        <v>0.117970926</v>
      </c>
      <c r="G137">
        <v>2.06125596</v>
      </c>
      <c r="H137">
        <v>299.001507</v>
      </c>
      <c r="I137">
        <v>299.34359389999997</v>
      </c>
      <c r="J137">
        <v>298.81136930000002</v>
      </c>
      <c r="K137">
        <v>298.86872990000001</v>
      </c>
      <c r="L137">
        <v>299.275958</v>
      </c>
      <c r="M137">
        <v>300.19984369999997</v>
      </c>
      <c r="N137">
        <v>0.55078125</v>
      </c>
      <c r="O137">
        <v>14545.05882</v>
      </c>
      <c r="Q137">
        <v>299.14999999999998</v>
      </c>
      <c r="R137">
        <v>26</v>
      </c>
      <c r="S137">
        <f t="shared" si="13"/>
        <v>25.851507000000026</v>
      </c>
      <c r="T137">
        <f t="shared" si="14"/>
        <v>26.193593899999996</v>
      </c>
      <c r="U137">
        <f t="shared" si="15"/>
        <v>25.661369300000047</v>
      </c>
      <c r="V137">
        <f t="shared" si="16"/>
        <v>25.718729900000028</v>
      </c>
      <c r="W137">
        <f t="shared" si="17"/>
        <v>26.125958000000026</v>
      </c>
      <c r="Y137">
        <f t="shared" si="18"/>
        <v>33.75</v>
      </c>
    </row>
    <row r="138" spans="1:25" x14ac:dyDescent="0.25">
      <c r="A138">
        <v>0</v>
      </c>
      <c r="B138">
        <v>0.151121063</v>
      </c>
      <c r="C138">
        <v>0.35978015499999999</v>
      </c>
      <c r="D138">
        <v>8.0959689000000001E-2</v>
      </c>
      <c r="E138">
        <v>0.100486829</v>
      </c>
      <c r="F138">
        <v>0.15935566900000001</v>
      </c>
      <c r="G138">
        <v>2.0604455009999998</v>
      </c>
      <c r="H138">
        <v>299.18901799999998</v>
      </c>
      <c r="I138">
        <v>299.36110719999999</v>
      </c>
      <c r="J138">
        <v>299.01928379999998</v>
      </c>
      <c r="K138">
        <v>299.01303439999998</v>
      </c>
      <c r="L138">
        <v>299.31582479999997</v>
      </c>
      <c r="M138">
        <v>300.35000000000002</v>
      </c>
      <c r="N138">
        <v>0.54</v>
      </c>
      <c r="O138">
        <v>13693.55838</v>
      </c>
      <c r="Q138">
        <v>299.14999999999998</v>
      </c>
      <c r="R138">
        <v>26</v>
      </c>
      <c r="S138">
        <f t="shared" si="13"/>
        <v>26.039017999999999</v>
      </c>
      <c r="T138">
        <f t="shared" si="14"/>
        <v>26.211107200000015</v>
      </c>
      <c r="U138">
        <f t="shared" si="15"/>
        <v>25.869283800000005</v>
      </c>
      <c r="V138">
        <f t="shared" si="16"/>
        <v>25.863034400000004</v>
      </c>
      <c r="W138">
        <f t="shared" si="17"/>
        <v>26.165824799999996</v>
      </c>
      <c r="Y138">
        <f t="shared" si="18"/>
        <v>34</v>
      </c>
    </row>
    <row r="139" spans="1:25" x14ac:dyDescent="0.25">
      <c r="A139">
        <v>0</v>
      </c>
      <c r="B139">
        <v>0.16061315200000001</v>
      </c>
      <c r="C139">
        <v>0.28728140899999999</v>
      </c>
      <c r="D139">
        <v>5.7665098999999997E-2</v>
      </c>
      <c r="E139">
        <v>5.5729953999999998E-2</v>
      </c>
      <c r="F139">
        <v>0.17709119300000001</v>
      </c>
      <c r="G139">
        <v>1.782372128</v>
      </c>
      <c r="H139">
        <v>299.4022804</v>
      </c>
      <c r="I139">
        <v>299.7153381</v>
      </c>
      <c r="J139">
        <v>299.28334219999999</v>
      </c>
      <c r="K139">
        <v>299.33461010000002</v>
      </c>
      <c r="L139">
        <v>299.5751027</v>
      </c>
      <c r="M139">
        <v>300.75953120000003</v>
      </c>
      <c r="N139">
        <v>0.53121093799999997</v>
      </c>
      <c r="O139">
        <v>7813.6137140000001</v>
      </c>
      <c r="Q139">
        <v>299.14999999999998</v>
      </c>
      <c r="R139">
        <v>26</v>
      </c>
      <c r="S139">
        <f t="shared" si="13"/>
        <v>26.252280400000018</v>
      </c>
      <c r="T139">
        <f t="shared" si="14"/>
        <v>26.565338100000019</v>
      </c>
      <c r="U139">
        <f t="shared" si="15"/>
        <v>26.133342200000016</v>
      </c>
      <c r="V139">
        <f t="shared" si="16"/>
        <v>26.184610100000043</v>
      </c>
      <c r="W139">
        <f t="shared" si="17"/>
        <v>26.425102700000025</v>
      </c>
      <c r="Y139">
        <f t="shared" si="18"/>
        <v>34.25</v>
      </c>
    </row>
    <row r="140" spans="1:25" x14ac:dyDescent="0.25">
      <c r="A140">
        <v>0</v>
      </c>
      <c r="B140">
        <v>0.107310049</v>
      </c>
      <c r="C140">
        <v>0.24635480900000001</v>
      </c>
      <c r="D140">
        <v>5.0734464999999999E-2</v>
      </c>
      <c r="E140">
        <v>4.0537358000000003E-2</v>
      </c>
      <c r="F140">
        <v>0.14960844300000001</v>
      </c>
      <c r="G140">
        <v>1.527859756</v>
      </c>
      <c r="H140">
        <v>299.78351559999999</v>
      </c>
      <c r="I140">
        <v>300.02958940000002</v>
      </c>
      <c r="J140">
        <v>299.54500860000002</v>
      </c>
      <c r="K140">
        <v>299.62004739999998</v>
      </c>
      <c r="L140">
        <v>299.79495859999997</v>
      </c>
      <c r="M140">
        <v>301.28625</v>
      </c>
      <c r="N140">
        <v>0.5234375</v>
      </c>
      <c r="O140">
        <v>11728.846869999999</v>
      </c>
      <c r="Q140">
        <v>299.14999999999998</v>
      </c>
      <c r="R140">
        <v>26</v>
      </c>
      <c r="S140">
        <f t="shared" si="13"/>
        <v>26.63351560000001</v>
      </c>
      <c r="T140">
        <f t="shared" si="14"/>
        <v>26.879589400000043</v>
      </c>
      <c r="U140">
        <f t="shared" si="15"/>
        <v>26.39500860000004</v>
      </c>
      <c r="V140">
        <f t="shared" si="16"/>
        <v>26.470047399999999</v>
      </c>
      <c r="W140">
        <f t="shared" si="17"/>
        <v>26.644958599999995</v>
      </c>
      <c r="Y140">
        <f t="shared" si="18"/>
        <v>34.5</v>
      </c>
    </row>
    <row r="141" spans="1:25" x14ac:dyDescent="0.25">
      <c r="A141">
        <v>0</v>
      </c>
      <c r="B141">
        <v>0.18447166200000001</v>
      </c>
      <c r="C141">
        <v>0.37786287299999999</v>
      </c>
      <c r="D141">
        <v>6.0258185999999998E-2</v>
      </c>
      <c r="E141">
        <v>0.119268688</v>
      </c>
      <c r="F141">
        <v>0.163749858</v>
      </c>
      <c r="G141">
        <v>2.2045557690000002</v>
      </c>
      <c r="H141">
        <v>299.55825959999999</v>
      </c>
      <c r="I141">
        <v>299.59820669999999</v>
      </c>
      <c r="J141">
        <v>299.41854000000001</v>
      </c>
      <c r="K141">
        <v>299.27561850000001</v>
      </c>
      <c r="L141">
        <v>299.49912469999998</v>
      </c>
      <c r="M141">
        <v>301.76984370000002</v>
      </c>
      <c r="N141">
        <v>0.51644531299999996</v>
      </c>
      <c r="O141">
        <v>15922.66048</v>
      </c>
      <c r="Q141">
        <v>299.14999999999998</v>
      </c>
      <c r="R141">
        <v>26</v>
      </c>
      <c r="S141">
        <f t="shared" si="13"/>
        <v>26.408259600000008</v>
      </c>
      <c r="T141">
        <f t="shared" si="14"/>
        <v>26.448206700000014</v>
      </c>
      <c r="U141">
        <f t="shared" si="15"/>
        <v>26.26854000000003</v>
      </c>
      <c r="V141">
        <f t="shared" si="16"/>
        <v>26.12561850000003</v>
      </c>
      <c r="W141">
        <f t="shared" si="17"/>
        <v>26.349124700000004</v>
      </c>
      <c r="Y141">
        <f t="shared" si="18"/>
        <v>34.75</v>
      </c>
    </row>
    <row r="142" spans="1:25" x14ac:dyDescent="0.25">
      <c r="A142">
        <v>0</v>
      </c>
      <c r="B142">
        <v>0.37410532000000002</v>
      </c>
      <c r="C142">
        <v>0.43757284699999999</v>
      </c>
      <c r="D142">
        <v>0.21423282099999999</v>
      </c>
      <c r="E142">
        <v>0.21979527500000001</v>
      </c>
      <c r="F142">
        <v>0.12626078800000001</v>
      </c>
      <c r="G142">
        <v>2.909642635</v>
      </c>
      <c r="H142">
        <v>298.83340170000002</v>
      </c>
      <c r="I142">
        <v>298.96962550000001</v>
      </c>
      <c r="J142">
        <v>298.64953750000001</v>
      </c>
      <c r="K142">
        <v>298.58336459999998</v>
      </c>
      <c r="L142">
        <v>299.11928390000003</v>
      </c>
      <c r="M142">
        <v>302.05</v>
      </c>
      <c r="N142">
        <v>0.51</v>
      </c>
      <c r="O142">
        <v>22316.407620000002</v>
      </c>
      <c r="Q142">
        <v>299.14999999999998</v>
      </c>
      <c r="R142">
        <v>26</v>
      </c>
      <c r="S142">
        <f t="shared" si="13"/>
        <v>25.683401700000047</v>
      </c>
      <c r="T142">
        <f t="shared" si="14"/>
        <v>25.819625500000029</v>
      </c>
      <c r="U142">
        <f t="shared" si="15"/>
        <v>25.499537500000031</v>
      </c>
      <c r="V142">
        <f t="shared" si="16"/>
        <v>25.433364600000004</v>
      </c>
      <c r="W142">
        <f t="shared" si="17"/>
        <v>25.96928390000005</v>
      </c>
      <c r="Y142">
        <f t="shared" si="18"/>
        <v>35</v>
      </c>
    </row>
    <row r="143" spans="1:25" x14ac:dyDescent="0.25">
      <c r="A143">
        <v>0</v>
      </c>
      <c r="B143">
        <v>0.34277524999999998</v>
      </c>
      <c r="C143">
        <v>0.34678505700000001</v>
      </c>
      <c r="D143">
        <v>0.223083848</v>
      </c>
      <c r="E143">
        <v>0.16135735100000001</v>
      </c>
      <c r="F143">
        <v>0.16345837199999999</v>
      </c>
      <c r="G143">
        <v>2.4863055080000001</v>
      </c>
      <c r="H143">
        <v>298.93495860000002</v>
      </c>
      <c r="I143">
        <v>299.1260618</v>
      </c>
      <c r="J143">
        <v>298.64014880000002</v>
      </c>
      <c r="K143">
        <v>298.75629520000001</v>
      </c>
      <c r="L143">
        <v>299.27615420000001</v>
      </c>
      <c r="M143">
        <v>302.10220170000002</v>
      </c>
      <c r="N143">
        <v>0.50289062500000004</v>
      </c>
      <c r="O143">
        <v>19434.90076</v>
      </c>
      <c r="Q143">
        <v>299.14999999999998</v>
      </c>
      <c r="R143">
        <v>26</v>
      </c>
      <c r="S143">
        <f t="shared" si="13"/>
        <v>25.784958600000039</v>
      </c>
      <c r="T143">
        <f t="shared" si="14"/>
        <v>25.976061800000025</v>
      </c>
      <c r="U143">
        <f t="shared" si="15"/>
        <v>25.490148800000043</v>
      </c>
      <c r="V143">
        <f t="shared" si="16"/>
        <v>25.606295200000034</v>
      </c>
      <c r="W143">
        <f t="shared" si="17"/>
        <v>26.12615420000003</v>
      </c>
      <c r="Y143">
        <f t="shared" si="18"/>
        <v>35.25</v>
      </c>
    </row>
    <row r="144" spans="1:25" x14ac:dyDescent="0.25">
      <c r="A144">
        <v>0</v>
      </c>
      <c r="B144">
        <v>0.240508953</v>
      </c>
      <c r="C144">
        <v>0.25767126699999998</v>
      </c>
      <c r="D144">
        <v>0.134575958</v>
      </c>
      <c r="E144">
        <v>0.11985914</v>
      </c>
      <c r="F144">
        <v>0.17708711499999999</v>
      </c>
      <c r="G144">
        <v>1.9983598440000001</v>
      </c>
      <c r="H144">
        <v>299.30926440000002</v>
      </c>
      <c r="I144">
        <v>299.42190529999999</v>
      </c>
      <c r="J144">
        <v>298.9878622</v>
      </c>
      <c r="K144">
        <v>299.01714070000003</v>
      </c>
      <c r="L144">
        <v>299.4149074</v>
      </c>
      <c r="M144">
        <v>302.06420450000002</v>
      </c>
      <c r="N144">
        <v>0.49562499999999998</v>
      </c>
      <c r="O144">
        <v>16203.908160000001</v>
      </c>
      <c r="Q144">
        <v>299.14999999999998</v>
      </c>
      <c r="R144">
        <v>26</v>
      </c>
      <c r="S144">
        <f t="shared" si="13"/>
        <v>26.15926440000004</v>
      </c>
      <c r="T144">
        <f t="shared" si="14"/>
        <v>26.271905300000014</v>
      </c>
      <c r="U144">
        <f t="shared" si="15"/>
        <v>25.837862200000018</v>
      </c>
      <c r="V144">
        <f t="shared" si="16"/>
        <v>25.86714070000005</v>
      </c>
      <c r="W144">
        <f t="shared" si="17"/>
        <v>26.264907400000027</v>
      </c>
      <c r="Y144">
        <f t="shared" si="18"/>
        <v>35.5</v>
      </c>
    </row>
    <row r="145" spans="1:25" x14ac:dyDescent="0.25">
      <c r="A145">
        <v>0</v>
      </c>
      <c r="B145">
        <v>0.277122219</v>
      </c>
      <c r="C145">
        <v>0.33769542899999999</v>
      </c>
      <c r="D145">
        <v>0.14241693</v>
      </c>
      <c r="E145">
        <v>0.14891433500000001</v>
      </c>
      <c r="F145">
        <v>0.19855355699999999</v>
      </c>
      <c r="G145">
        <v>2.365103833</v>
      </c>
      <c r="H145">
        <v>299.19024789999997</v>
      </c>
      <c r="I145">
        <v>299.09370560000002</v>
      </c>
      <c r="J145">
        <v>298.89808219999998</v>
      </c>
      <c r="K145">
        <v>298.83569460000001</v>
      </c>
      <c r="L145">
        <v>299.24922229999999</v>
      </c>
      <c r="M145">
        <v>302.01910509999999</v>
      </c>
      <c r="N145">
        <v>0.49054687499999999</v>
      </c>
      <c r="O145">
        <v>18551.967570000001</v>
      </c>
      <c r="Q145">
        <v>299.14999999999998</v>
      </c>
      <c r="R145">
        <v>26</v>
      </c>
      <c r="S145">
        <f t="shared" si="13"/>
        <v>26.040247899999997</v>
      </c>
      <c r="T145">
        <f t="shared" si="14"/>
        <v>25.943705600000044</v>
      </c>
      <c r="U145">
        <f t="shared" si="15"/>
        <v>25.748082199999999</v>
      </c>
      <c r="V145">
        <f t="shared" si="16"/>
        <v>25.685694600000033</v>
      </c>
      <c r="W145">
        <f t="shared" si="17"/>
        <v>26.099222300000008</v>
      </c>
      <c r="Y145">
        <f t="shared" si="18"/>
        <v>35.75</v>
      </c>
    </row>
    <row r="146" spans="1:25" x14ac:dyDescent="0.25">
      <c r="A146">
        <v>0</v>
      </c>
      <c r="B146">
        <v>0.317065439</v>
      </c>
      <c r="C146">
        <v>0.324470859</v>
      </c>
      <c r="D146">
        <v>0.16384769900000001</v>
      </c>
      <c r="E146">
        <v>0.122516862</v>
      </c>
      <c r="F146">
        <v>0.63410659999999996</v>
      </c>
      <c r="G146">
        <v>3.1683553949999999</v>
      </c>
      <c r="H146">
        <v>298.88058430000001</v>
      </c>
      <c r="I146">
        <v>298.77920010000003</v>
      </c>
      <c r="J146">
        <v>298.57715819999999</v>
      </c>
      <c r="K146">
        <v>298.5831106</v>
      </c>
      <c r="L146">
        <v>299.0671931</v>
      </c>
      <c r="M146">
        <v>302.05</v>
      </c>
      <c r="N146">
        <v>0.49</v>
      </c>
      <c r="O146">
        <v>21097.497240000001</v>
      </c>
      <c r="Q146">
        <v>299.14999999999998</v>
      </c>
      <c r="R146">
        <v>26</v>
      </c>
      <c r="S146">
        <f t="shared" si="13"/>
        <v>25.730584300000032</v>
      </c>
      <c r="T146">
        <f t="shared" si="14"/>
        <v>25.629200100000048</v>
      </c>
      <c r="U146">
        <f t="shared" si="15"/>
        <v>25.427158200000008</v>
      </c>
      <c r="V146">
        <f t="shared" si="16"/>
        <v>25.43311060000002</v>
      </c>
      <c r="W146">
        <f t="shared" si="17"/>
        <v>25.91719310000002</v>
      </c>
      <c r="Y146">
        <f t="shared" si="18"/>
        <v>36</v>
      </c>
    </row>
    <row r="147" spans="1:25" x14ac:dyDescent="0.25">
      <c r="A147">
        <v>0</v>
      </c>
      <c r="B147">
        <v>0.15137091</v>
      </c>
      <c r="C147">
        <v>0.15700092399999999</v>
      </c>
      <c r="D147">
        <v>5.4450223999999998E-2</v>
      </c>
      <c r="E147">
        <v>4.3281666000000003E-2</v>
      </c>
      <c r="F147">
        <v>0.31595519</v>
      </c>
      <c r="G147">
        <v>1.6885733140000001</v>
      </c>
      <c r="H147">
        <v>299.73040889999999</v>
      </c>
      <c r="I147">
        <v>299.70419829999997</v>
      </c>
      <c r="J147">
        <v>299.30857170000002</v>
      </c>
      <c r="K147">
        <v>299.35706620000002</v>
      </c>
      <c r="L147">
        <v>299.62346539999999</v>
      </c>
      <c r="M147">
        <v>302.18245739999998</v>
      </c>
      <c r="N147">
        <v>0.49249999999999999</v>
      </c>
      <c r="O147">
        <v>13367.599969999999</v>
      </c>
      <c r="Q147">
        <v>299.14999999999998</v>
      </c>
      <c r="R147">
        <v>26</v>
      </c>
      <c r="S147">
        <f t="shared" si="13"/>
        <v>26.580408900000009</v>
      </c>
      <c r="T147">
        <f t="shared" si="14"/>
        <v>26.554198299999996</v>
      </c>
      <c r="U147">
        <f t="shared" si="15"/>
        <v>26.158571700000039</v>
      </c>
      <c r="V147">
        <f t="shared" si="16"/>
        <v>26.207066200000042</v>
      </c>
      <c r="W147">
        <f t="shared" si="17"/>
        <v>26.473465400000009</v>
      </c>
      <c r="Y147">
        <f t="shared" si="18"/>
        <v>36.25</v>
      </c>
    </row>
    <row r="148" spans="1:25" x14ac:dyDescent="0.25">
      <c r="A148">
        <v>0</v>
      </c>
      <c r="B148">
        <v>0.110908651</v>
      </c>
      <c r="C148">
        <v>0.124896305</v>
      </c>
      <c r="D148">
        <v>5.1066069999999998E-2</v>
      </c>
      <c r="E148">
        <v>4.0782268000000003E-2</v>
      </c>
      <c r="F148">
        <v>0.305629663</v>
      </c>
      <c r="G148">
        <v>1.5637969380000001</v>
      </c>
      <c r="H148">
        <v>300.05930979999999</v>
      </c>
      <c r="I148">
        <v>299.98542090000001</v>
      </c>
      <c r="J148">
        <v>299.55427839999999</v>
      </c>
      <c r="K148">
        <v>299.60816469999997</v>
      </c>
      <c r="L148">
        <v>299.82191560000001</v>
      </c>
      <c r="M148">
        <v>302.34829550000001</v>
      </c>
      <c r="N148">
        <v>0.495</v>
      </c>
      <c r="O148">
        <v>7965.0709500000003</v>
      </c>
      <c r="Q148">
        <v>299.14999999999998</v>
      </c>
      <c r="R148">
        <v>26</v>
      </c>
      <c r="S148">
        <f t="shared" si="13"/>
        <v>26.909309800000017</v>
      </c>
      <c r="T148">
        <f t="shared" si="14"/>
        <v>26.835420900000031</v>
      </c>
      <c r="U148">
        <f t="shared" si="15"/>
        <v>26.40427840000001</v>
      </c>
      <c r="V148">
        <f t="shared" si="16"/>
        <v>26.458164699999998</v>
      </c>
      <c r="W148">
        <f t="shared" si="17"/>
        <v>26.671915600000034</v>
      </c>
      <c r="Y148">
        <f t="shared" si="18"/>
        <v>36.5</v>
      </c>
    </row>
    <row r="149" spans="1:25" x14ac:dyDescent="0.25">
      <c r="A149">
        <v>0</v>
      </c>
      <c r="B149">
        <v>0.29108544200000003</v>
      </c>
      <c r="C149">
        <v>0.27642177699999998</v>
      </c>
      <c r="D149">
        <v>0.21200298000000001</v>
      </c>
      <c r="E149">
        <v>0.18594777800000001</v>
      </c>
      <c r="F149">
        <v>0.19490434600000001</v>
      </c>
      <c r="G149">
        <v>2.3535692450000001</v>
      </c>
      <c r="H149">
        <v>299.60058140000001</v>
      </c>
      <c r="I149">
        <v>299.43695930000001</v>
      </c>
      <c r="J149">
        <v>298.98688909999998</v>
      </c>
      <c r="K149">
        <v>299.04047759999997</v>
      </c>
      <c r="L149">
        <v>299.53846709999999</v>
      </c>
      <c r="M149">
        <v>302.4899858</v>
      </c>
      <c r="N149">
        <v>0.4975</v>
      </c>
      <c r="O149">
        <v>20181.058239999998</v>
      </c>
      <c r="Q149">
        <v>299.14999999999998</v>
      </c>
      <c r="R149">
        <v>26</v>
      </c>
      <c r="S149">
        <f t="shared" si="13"/>
        <v>26.450581400000033</v>
      </c>
      <c r="T149">
        <f t="shared" si="14"/>
        <v>26.286959300000035</v>
      </c>
      <c r="U149">
        <f t="shared" si="15"/>
        <v>25.836889100000008</v>
      </c>
      <c r="V149">
        <f t="shared" si="16"/>
        <v>25.890477599999997</v>
      </c>
      <c r="W149">
        <f t="shared" si="17"/>
        <v>26.388467100000014</v>
      </c>
      <c r="Y149">
        <f t="shared" si="18"/>
        <v>36.75</v>
      </c>
    </row>
    <row r="150" spans="1:25" x14ac:dyDescent="0.25">
      <c r="A150">
        <v>0</v>
      </c>
      <c r="B150">
        <v>0.43944443700000002</v>
      </c>
      <c r="C150">
        <v>0.33248171199999998</v>
      </c>
      <c r="D150">
        <v>0.225371037</v>
      </c>
      <c r="E150">
        <v>0.19444542300000001</v>
      </c>
      <c r="F150">
        <v>0.18936323299999999</v>
      </c>
      <c r="G150">
        <v>2.8397487799999999</v>
      </c>
      <c r="H150">
        <v>298.82168159999998</v>
      </c>
      <c r="I150">
        <v>298.73128439999999</v>
      </c>
      <c r="J150">
        <v>298.52841410000002</v>
      </c>
      <c r="K150">
        <v>298.5526443</v>
      </c>
      <c r="L150">
        <v>299.10763839999998</v>
      </c>
      <c r="M150">
        <v>302.55</v>
      </c>
      <c r="N150">
        <v>0.5</v>
      </c>
      <c r="O150">
        <v>24430.870449999999</v>
      </c>
      <c r="Q150">
        <v>299.14999999999998</v>
      </c>
      <c r="R150">
        <v>26</v>
      </c>
      <c r="S150">
        <f t="shared" si="13"/>
        <v>25.671681599999999</v>
      </c>
      <c r="T150">
        <f t="shared" si="14"/>
        <v>25.581284400000015</v>
      </c>
      <c r="U150">
        <f t="shared" si="15"/>
        <v>25.378414100000043</v>
      </c>
      <c r="V150">
        <f t="shared" si="16"/>
        <v>25.40264430000002</v>
      </c>
      <c r="W150">
        <f t="shared" si="17"/>
        <v>25.957638400000008</v>
      </c>
      <c r="Y150">
        <f t="shared" si="18"/>
        <v>37</v>
      </c>
    </row>
    <row r="151" spans="1:25" x14ac:dyDescent="0.25">
      <c r="A151">
        <v>0</v>
      </c>
      <c r="B151">
        <v>0.34157601700000001</v>
      </c>
      <c r="C151">
        <v>0.23470952</v>
      </c>
      <c r="D151">
        <v>6.4999541999999993E-2</v>
      </c>
      <c r="E151">
        <v>9.5520701E-2</v>
      </c>
      <c r="F151">
        <v>0.16787834400000001</v>
      </c>
      <c r="G151">
        <v>2.0079641750000001</v>
      </c>
      <c r="H151">
        <v>299.36735099999999</v>
      </c>
      <c r="I151">
        <v>299.32741679999998</v>
      </c>
      <c r="J151">
        <v>299.2939561</v>
      </c>
      <c r="K151">
        <v>299.2583467</v>
      </c>
      <c r="L151">
        <v>299.48939089999999</v>
      </c>
      <c r="M151">
        <v>302.55</v>
      </c>
      <c r="N151">
        <v>0.50249999999999995</v>
      </c>
      <c r="O151">
        <v>17451.298780000001</v>
      </c>
      <c r="Q151">
        <v>299.14999999999998</v>
      </c>
      <c r="R151">
        <v>26</v>
      </c>
      <c r="S151">
        <f t="shared" si="13"/>
        <v>26.217351000000008</v>
      </c>
      <c r="T151">
        <f t="shared" si="14"/>
        <v>26.177416800000003</v>
      </c>
      <c r="U151">
        <f t="shared" si="15"/>
        <v>26.143956100000025</v>
      </c>
      <c r="V151">
        <f t="shared" si="16"/>
        <v>26.108346700000027</v>
      </c>
      <c r="W151">
        <f t="shared" si="17"/>
        <v>26.339390900000012</v>
      </c>
      <c r="Y151">
        <f t="shared" si="18"/>
        <v>37.25</v>
      </c>
    </row>
    <row r="152" spans="1:25" x14ac:dyDescent="0.25">
      <c r="A152">
        <v>0</v>
      </c>
      <c r="B152">
        <v>0.24833118300000001</v>
      </c>
      <c r="C152">
        <v>0.198807394</v>
      </c>
      <c r="D152">
        <v>6.3020304999999999E-2</v>
      </c>
      <c r="E152">
        <v>9.6829263999999998E-2</v>
      </c>
      <c r="F152">
        <v>0.17431598500000001</v>
      </c>
      <c r="G152">
        <v>1.788191444</v>
      </c>
      <c r="H152">
        <v>299.73341360000001</v>
      </c>
      <c r="I152">
        <v>299.57342460000001</v>
      </c>
      <c r="J152">
        <v>299.47875720000002</v>
      </c>
      <c r="K152">
        <v>299.47627779999999</v>
      </c>
      <c r="L152">
        <v>299.64119490000002</v>
      </c>
      <c r="M152">
        <v>302.55</v>
      </c>
      <c r="N152">
        <v>0.505</v>
      </c>
      <c r="O152">
        <v>16601.881359999999</v>
      </c>
      <c r="Q152">
        <v>299.14999999999998</v>
      </c>
      <c r="R152">
        <v>26</v>
      </c>
      <c r="S152">
        <f t="shared" si="13"/>
        <v>26.583413600000029</v>
      </c>
      <c r="T152">
        <f t="shared" si="14"/>
        <v>26.423424600000033</v>
      </c>
      <c r="U152">
        <f t="shared" si="15"/>
        <v>26.328757200000041</v>
      </c>
      <c r="V152">
        <f t="shared" si="16"/>
        <v>26.326277800000014</v>
      </c>
      <c r="W152">
        <f t="shared" si="17"/>
        <v>26.491194900000039</v>
      </c>
      <c r="Y152">
        <f t="shared" si="18"/>
        <v>37.5</v>
      </c>
    </row>
    <row r="153" spans="1:25" x14ac:dyDescent="0.25">
      <c r="A153">
        <v>0</v>
      </c>
      <c r="B153">
        <v>0.330311354</v>
      </c>
      <c r="C153">
        <v>0.313671651</v>
      </c>
      <c r="D153">
        <v>0.23155289300000001</v>
      </c>
      <c r="E153">
        <v>0.20323835300000001</v>
      </c>
      <c r="F153">
        <v>0.20823276800000001</v>
      </c>
      <c r="G153">
        <v>2.607506361</v>
      </c>
      <c r="H153">
        <v>299.54008199999998</v>
      </c>
      <c r="I153">
        <v>299.18448369999999</v>
      </c>
      <c r="J153">
        <v>298.93669829999999</v>
      </c>
      <c r="K153">
        <v>299.10179369999997</v>
      </c>
      <c r="L153">
        <v>299.49150659999998</v>
      </c>
      <c r="M153">
        <v>302.55</v>
      </c>
      <c r="N153">
        <v>0.50749999999999995</v>
      </c>
      <c r="O153">
        <v>22262.79796</v>
      </c>
      <c r="Q153">
        <v>299.14999999999998</v>
      </c>
      <c r="R153">
        <v>26</v>
      </c>
      <c r="S153">
        <f t="shared" si="13"/>
        <v>26.390082000000007</v>
      </c>
      <c r="T153">
        <f t="shared" si="14"/>
        <v>26.03448370000001</v>
      </c>
      <c r="U153">
        <f t="shared" si="15"/>
        <v>25.786698300000012</v>
      </c>
      <c r="V153">
        <f t="shared" si="16"/>
        <v>25.951793699999996</v>
      </c>
      <c r="W153">
        <f t="shared" si="17"/>
        <v>26.341506600000002</v>
      </c>
      <c r="Y153">
        <f t="shared" si="18"/>
        <v>37.75</v>
      </c>
    </row>
    <row r="154" spans="1:25" x14ac:dyDescent="0.25">
      <c r="A154">
        <v>0</v>
      </c>
      <c r="B154">
        <v>0.40006009799999998</v>
      </c>
      <c r="C154">
        <v>0.26916419200000002</v>
      </c>
      <c r="D154">
        <v>0.174931687</v>
      </c>
      <c r="E154">
        <v>0.16795901799999999</v>
      </c>
      <c r="F154">
        <v>0.175816534</v>
      </c>
      <c r="G154">
        <v>2.4827100799999999</v>
      </c>
      <c r="H154">
        <v>299.23581109999998</v>
      </c>
      <c r="I154">
        <v>299.113024</v>
      </c>
      <c r="J154">
        <v>298.97679269999998</v>
      </c>
      <c r="K154">
        <v>299.14071819999998</v>
      </c>
      <c r="L154">
        <v>299.43198719999998</v>
      </c>
      <c r="M154">
        <v>302.55</v>
      </c>
      <c r="N154">
        <v>0.51</v>
      </c>
      <c r="O154">
        <v>19870.749349999998</v>
      </c>
      <c r="Q154">
        <v>299.14999999999998</v>
      </c>
      <c r="R154">
        <v>26</v>
      </c>
      <c r="S154">
        <f t="shared" si="13"/>
        <v>26.085811100000001</v>
      </c>
      <c r="T154">
        <f t="shared" si="14"/>
        <v>25.963024000000019</v>
      </c>
      <c r="U154">
        <f t="shared" si="15"/>
        <v>25.826792699999999</v>
      </c>
      <c r="V154">
        <f t="shared" si="16"/>
        <v>25.990718200000003</v>
      </c>
      <c r="W154">
        <f t="shared" si="17"/>
        <v>26.281987200000003</v>
      </c>
      <c r="Y154">
        <f t="shared" si="18"/>
        <v>38</v>
      </c>
    </row>
    <row r="155" spans="1:25" x14ac:dyDescent="0.25">
      <c r="A155">
        <v>0</v>
      </c>
      <c r="B155">
        <v>0.26346523500000002</v>
      </c>
      <c r="C155">
        <v>0.12670967999999999</v>
      </c>
      <c r="D155">
        <v>5.0751172999999997E-2</v>
      </c>
      <c r="E155">
        <v>8.3074777000000002E-2</v>
      </c>
      <c r="F155">
        <v>0.25739438199999998</v>
      </c>
      <c r="G155">
        <v>1.7769358719999999</v>
      </c>
      <c r="H155">
        <v>299.8005842</v>
      </c>
      <c r="I155">
        <v>299.8025695</v>
      </c>
      <c r="J155">
        <v>299.60309949999998</v>
      </c>
      <c r="K155">
        <v>299.77437859999998</v>
      </c>
      <c r="L155">
        <v>299.81040200000001</v>
      </c>
      <c r="M155">
        <v>302.55</v>
      </c>
      <c r="N155">
        <v>0.51046875000000003</v>
      </c>
      <c r="O155">
        <v>15529.24007</v>
      </c>
      <c r="Q155">
        <v>299.14999999999998</v>
      </c>
      <c r="R155">
        <v>26</v>
      </c>
      <c r="S155">
        <f t="shared" si="13"/>
        <v>26.650584200000026</v>
      </c>
      <c r="T155">
        <f t="shared" si="14"/>
        <v>26.652569500000027</v>
      </c>
      <c r="U155">
        <f t="shared" si="15"/>
        <v>26.453099500000008</v>
      </c>
      <c r="V155">
        <f t="shared" si="16"/>
        <v>26.6243786</v>
      </c>
      <c r="W155">
        <f t="shared" si="17"/>
        <v>26.660402000000033</v>
      </c>
      <c r="Y155">
        <f t="shared" si="18"/>
        <v>38.25</v>
      </c>
    </row>
    <row r="156" spans="1:25" x14ac:dyDescent="0.25">
      <c r="A156">
        <v>0</v>
      </c>
      <c r="B156">
        <v>0.304811104</v>
      </c>
      <c r="C156">
        <v>0.207152951</v>
      </c>
      <c r="D156">
        <v>0.16892743700000001</v>
      </c>
      <c r="E156">
        <v>0.18104979099999999</v>
      </c>
      <c r="F156">
        <v>0.25204041599999999</v>
      </c>
      <c r="G156">
        <v>2.312177937</v>
      </c>
      <c r="H156">
        <v>299.69502870000002</v>
      </c>
      <c r="I156">
        <v>299.51361580000003</v>
      </c>
      <c r="J156">
        <v>299.26564530000002</v>
      </c>
      <c r="K156">
        <v>299.51497060000003</v>
      </c>
      <c r="L156">
        <v>299.67596300000002</v>
      </c>
      <c r="M156">
        <v>302.55</v>
      </c>
      <c r="N156">
        <v>0.50875000000000004</v>
      </c>
      <c r="O156">
        <v>22299.2883</v>
      </c>
      <c r="Q156">
        <v>299.14999999999998</v>
      </c>
      <c r="R156">
        <v>26</v>
      </c>
      <c r="S156">
        <f t="shared" si="13"/>
        <v>26.545028700000046</v>
      </c>
      <c r="T156">
        <f t="shared" si="14"/>
        <v>26.363615800000048</v>
      </c>
      <c r="U156">
        <f t="shared" si="15"/>
        <v>26.11564530000004</v>
      </c>
      <c r="V156">
        <f t="shared" si="16"/>
        <v>26.364970600000049</v>
      </c>
      <c r="W156">
        <f t="shared" si="17"/>
        <v>26.525963000000047</v>
      </c>
      <c r="Y156">
        <f t="shared" si="18"/>
        <v>38.5</v>
      </c>
    </row>
    <row r="157" spans="1:25" x14ac:dyDescent="0.25">
      <c r="A157">
        <v>0</v>
      </c>
      <c r="B157">
        <v>0.45679073999999997</v>
      </c>
      <c r="C157">
        <v>0.34467779399999998</v>
      </c>
      <c r="D157">
        <v>0.29893513799999999</v>
      </c>
      <c r="E157">
        <v>0.288597302</v>
      </c>
      <c r="F157">
        <v>0.12681772399999999</v>
      </c>
      <c r="G157">
        <v>3.0594395520000002</v>
      </c>
      <c r="H157">
        <v>299.00450039999998</v>
      </c>
      <c r="I157">
        <v>298.7317079</v>
      </c>
      <c r="J157">
        <v>298.58594740000001</v>
      </c>
      <c r="K157">
        <v>298.89315590000001</v>
      </c>
      <c r="L157">
        <v>299.23142840000003</v>
      </c>
      <c r="M157">
        <v>302.55</v>
      </c>
      <c r="N157">
        <v>0.50765625000000003</v>
      </c>
      <c r="O157">
        <v>27894.73818</v>
      </c>
      <c r="Q157">
        <v>299.14999999999998</v>
      </c>
      <c r="R157">
        <v>26</v>
      </c>
      <c r="S157">
        <f t="shared" si="13"/>
        <v>25.854500400000006</v>
      </c>
      <c r="T157">
        <f t="shared" si="14"/>
        <v>25.581707900000026</v>
      </c>
      <c r="U157">
        <f t="shared" si="15"/>
        <v>25.435947400000032</v>
      </c>
      <c r="V157">
        <f t="shared" si="16"/>
        <v>25.743155900000033</v>
      </c>
      <c r="W157">
        <f t="shared" si="17"/>
        <v>26.08142840000005</v>
      </c>
      <c r="Y157">
        <f t="shared" si="18"/>
        <v>38.75</v>
      </c>
    </row>
    <row r="158" spans="1:25" x14ac:dyDescent="0.25">
      <c r="A158">
        <v>0</v>
      </c>
      <c r="B158">
        <v>0.38402916399999998</v>
      </c>
      <c r="C158">
        <v>0.23164231499999999</v>
      </c>
      <c r="D158">
        <v>0.136412537</v>
      </c>
      <c r="E158">
        <v>0.200929411</v>
      </c>
      <c r="F158">
        <v>0.15994035700000001</v>
      </c>
      <c r="G158">
        <v>2.4334442119999999</v>
      </c>
      <c r="H158">
        <v>299.10575390000002</v>
      </c>
      <c r="I158">
        <v>299.00769839999998</v>
      </c>
      <c r="J158">
        <v>298.99293610000001</v>
      </c>
      <c r="K158">
        <v>299.19625250000001</v>
      </c>
      <c r="L158">
        <v>299.29724099999999</v>
      </c>
      <c r="M158">
        <v>302.55</v>
      </c>
      <c r="N158">
        <v>0.51</v>
      </c>
      <c r="O158">
        <v>21231.378659999998</v>
      </c>
      <c r="Q158">
        <v>299.14999999999998</v>
      </c>
      <c r="R158">
        <v>26</v>
      </c>
      <c r="S158">
        <f t="shared" si="13"/>
        <v>25.955753900000047</v>
      </c>
      <c r="T158">
        <f t="shared" si="14"/>
        <v>25.857698400000004</v>
      </c>
      <c r="U158">
        <f t="shared" si="15"/>
        <v>25.842936100000031</v>
      </c>
      <c r="V158">
        <f t="shared" si="16"/>
        <v>26.046252500000037</v>
      </c>
      <c r="W158">
        <f t="shared" si="17"/>
        <v>26.147241000000008</v>
      </c>
      <c r="Y158">
        <f t="shared" si="18"/>
        <v>39</v>
      </c>
    </row>
    <row r="159" spans="1:25" x14ac:dyDescent="0.25">
      <c r="A159">
        <v>0</v>
      </c>
      <c r="B159">
        <v>0.20908284199999999</v>
      </c>
      <c r="C159">
        <v>0.12677814700000001</v>
      </c>
      <c r="D159">
        <v>5.1091185999999997E-2</v>
      </c>
      <c r="E159">
        <v>0.14366791500000001</v>
      </c>
      <c r="F159">
        <v>0.15230260500000001</v>
      </c>
      <c r="G159">
        <v>1.7166959829999999</v>
      </c>
      <c r="H159">
        <v>299.85652160000001</v>
      </c>
      <c r="I159">
        <v>299.70526890000002</v>
      </c>
      <c r="J159">
        <v>299.60514189999998</v>
      </c>
      <c r="K159">
        <v>299.83990119999999</v>
      </c>
      <c r="L159">
        <v>299.71339440000003</v>
      </c>
      <c r="M159">
        <v>302.55</v>
      </c>
      <c r="N159">
        <v>0.51500000000000001</v>
      </c>
      <c r="O159">
        <v>16081.28671</v>
      </c>
      <c r="Q159">
        <v>299.14999999999998</v>
      </c>
      <c r="R159">
        <v>26</v>
      </c>
      <c r="S159">
        <f t="shared" si="13"/>
        <v>26.706521600000031</v>
      </c>
      <c r="T159">
        <f t="shared" si="14"/>
        <v>26.555268900000044</v>
      </c>
      <c r="U159">
        <f t="shared" si="15"/>
        <v>26.455141900000001</v>
      </c>
      <c r="V159">
        <f t="shared" si="16"/>
        <v>26.689901200000008</v>
      </c>
      <c r="W159">
        <f t="shared" si="17"/>
        <v>26.56339440000005</v>
      </c>
      <c r="Y159">
        <f t="shared" si="18"/>
        <v>39.25</v>
      </c>
    </row>
    <row r="160" spans="1:25" x14ac:dyDescent="0.25">
      <c r="A160">
        <v>0</v>
      </c>
      <c r="B160">
        <v>0.302852811</v>
      </c>
      <c r="C160">
        <v>0.22773542799999999</v>
      </c>
      <c r="D160">
        <v>0.179846164</v>
      </c>
      <c r="E160">
        <v>0.241628652</v>
      </c>
      <c r="F160">
        <v>0.13548229000000001</v>
      </c>
      <c r="G160">
        <v>2.3295106809999999</v>
      </c>
      <c r="H160">
        <v>299.64029840000001</v>
      </c>
      <c r="I160">
        <v>299.3756219</v>
      </c>
      <c r="J160">
        <v>299.24617769999998</v>
      </c>
      <c r="K160">
        <v>299.6313619</v>
      </c>
      <c r="L160">
        <v>299.60017260000001</v>
      </c>
      <c r="M160">
        <v>302.55</v>
      </c>
      <c r="N160">
        <v>0.52</v>
      </c>
      <c r="O160">
        <v>22407.994200000001</v>
      </c>
      <c r="Q160">
        <v>299.14999999999998</v>
      </c>
      <c r="R160">
        <v>26</v>
      </c>
      <c r="S160">
        <f t="shared" si="13"/>
        <v>26.490298400000029</v>
      </c>
      <c r="T160">
        <f t="shared" si="14"/>
        <v>26.225621900000021</v>
      </c>
      <c r="U160">
        <f t="shared" si="15"/>
        <v>26.096177699999998</v>
      </c>
      <c r="V160">
        <f t="shared" si="16"/>
        <v>26.481361900000024</v>
      </c>
      <c r="W160">
        <f t="shared" si="17"/>
        <v>26.45017260000003</v>
      </c>
      <c r="Y160">
        <f t="shared" si="18"/>
        <v>39.5</v>
      </c>
    </row>
    <row r="161" spans="1:25" x14ac:dyDescent="0.25">
      <c r="A161">
        <v>0</v>
      </c>
      <c r="B161">
        <v>0.435578678</v>
      </c>
      <c r="C161">
        <v>0.29841617599999998</v>
      </c>
      <c r="D161">
        <v>0.25004599700000002</v>
      </c>
      <c r="E161">
        <v>0.30945024700000001</v>
      </c>
      <c r="F161">
        <v>6.7940271999999996E-2</v>
      </c>
      <c r="G161">
        <v>2.8366418420000001</v>
      </c>
      <c r="H161">
        <v>299.025082</v>
      </c>
      <c r="I161">
        <v>298.84784500000001</v>
      </c>
      <c r="J161">
        <v>298.78195979999998</v>
      </c>
      <c r="K161">
        <v>299.17756400000002</v>
      </c>
      <c r="L161">
        <v>299.26083649999998</v>
      </c>
      <c r="M161">
        <v>302.55</v>
      </c>
      <c r="N161">
        <v>0.52500000000000002</v>
      </c>
      <c r="O161">
        <v>24740.636450000002</v>
      </c>
      <c r="Q161">
        <v>299.14999999999998</v>
      </c>
      <c r="R161">
        <v>26</v>
      </c>
      <c r="S161">
        <f t="shared" si="13"/>
        <v>25.87508200000002</v>
      </c>
      <c r="T161">
        <f t="shared" si="14"/>
        <v>25.697845000000029</v>
      </c>
      <c r="U161">
        <f t="shared" si="15"/>
        <v>25.631959800000004</v>
      </c>
      <c r="V161">
        <f t="shared" si="16"/>
        <v>26.027564000000041</v>
      </c>
      <c r="W161">
        <f t="shared" si="17"/>
        <v>26.110836500000005</v>
      </c>
      <c r="Y161">
        <f t="shared" si="18"/>
        <v>39.75</v>
      </c>
    </row>
    <row r="162" spans="1:25" x14ac:dyDescent="0.25">
      <c r="A162">
        <v>0</v>
      </c>
      <c r="B162">
        <v>0.30881059100000002</v>
      </c>
      <c r="C162">
        <v>0.15640778299999999</v>
      </c>
      <c r="D162">
        <v>9.3590046999999996E-2</v>
      </c>
      <c r="E162">
        <v>0.234730149</v>
      </c>
      <c r="F162">
        <v>0.10779604800000001</v>
      </c>
      <c r="G162">
        <v>2.1126266440000001</v>
      </c>
      <c r="H162">
        <v>299.50064579999997</v>
      </c>
      <c r="I162">
        <v>299.48991969999997</v>
      </c>
      <c r="J162">
        <v>299.41266460000003</v>
      </c>
      <c r="K162">
        <v>299.69496340000001</v>
      </c>
      <c r="L162">
        <v>299.54214580000001</v>
      </c>
      <c r="M162">
        <v>302.55</v>
      </c>
      <c r="N162">
        <v>0.53</v>
      </c>
      <c r="O162">
        <v>18767.954969999999</v>
      </c>
      <c r="Q162">
        <v>299.14999999999998</v>
      </c>
      <c r="R162">
        <v>26</v>
      </c>
      <c r="S162">
        <f t="shared" si="13"/>
        <v>26.350645799999995</v>
      </c>
      <c r="T162">
        <f t="shared" si="14"/>
        <v>26.339919699999996</v>
      </c>
      <c r="U162">
        <f t="shared" si="15"/>
        <v>26.262664600000051</v>
      </c>
      <c r="V162">
        <f t="shared" si="16"/>
        <v>26.544963400000029</v>
      </c>
      <c r="W162">
        <f t="shared" si="17"/>
        <v>26.392145800000037</v>
      </c>
      <c r="Y162">
        <f t="shared" si="18"/>
        <v>40</v>
      </c>
    </row>
    <row r="163" spans="1:25" x14ac:dyDescent="0.25">
      <c r="A163">
        <v>0</v>
      </c>
      <c r="B163">
        <v>0.200000012</v>
      </c>
      <c r="C163">
        <v>0.11821859899999999</v>
      </c>
      <c r="D163">
        <v>7.5935541999999995E-2</v>
      </c>
      <c r="E163">
        <v>0.19508782499999999</v>
      </c>
      <c r="F163">
        <v>8.6722219000000003E-2</v>
      </c>
      <c r="G163">
        <v>1.7397986169999999</v>
      </c>
      <c r="H163">
        <v>299.95349160000001</v>
      </c>
      <c r="I163">
        <v>299.84295969999999</v>
      </c>
      <c r="J163">
        <v>299.70208070000001</v>
      </c>
      <c r="K163">
        <v>300.0776831</v>
      </c>
      <c r="L163">
        <v>299.80556680000001</v>
      </c>
      <c r="M163">
        <v>302.52088070000002</v>
      </c>
      <c r="N163">
        <v>0.53500000000000003</v>
      </c>
      <c r="O163">
        <v>17535.526819999999</v>
      </c>
      <c r="Q163">
        <v>299.14999999999998</v>
      </c>
      <c r="R163">
        <v>26</v>
      </c>
      <c r="S163">
        <f t="shared" si="13"/>
        <v>26.803491600000029</v>
      </c>
      <c r="T163">
        <f t="shared" si="14"/>
        <v>26.692959700000017</v>
      </c>
      <c r="U163">
        <f t="shared" si="15"/>
        <v>26.552080700000033</v>
      </c>
      <c r="V163">
        <f t="shared" si="16"/>
        <v>26.927683100000024</v>
      </c>
      <c r="W163">
        <f t="shared" si="17"/>
        <v>26.655566800000031</v>
      </c>
      <c r="Y163">
        <f t="shared" si="18"/>
        <v>40.25</v>
      </c>
    </row>
    <row r="164" spans="1:25" x14ac:dyDescent="0.25">
      <c r="A164">
        <v>0</v>
      </c>
      <c r="B164">
        <v>0.30397244099999998</v>
      </c>
      <c r="C164">
        <v>0.288659583</v>
      </c>
      <c r="D164">
        <v>0.28444607300000002</v>
      </c>
      <c r="E164">
        <v>0.22451300900000001</v>
      </c>
      <c r="F164">
        <v>0.197688222</v>
      </c>
      <c r="G164">
        <v>2.5528570309999998</v>
      </c>
      <c r="H164">
        <v>299.57880119999999</v>
      </c>
      <c r="I164">
        <v>299.18117710000001</v>
      </c>
      <c r="J164">
        <v>298.98723539999997</v>
      </c>
      <c r="K164">
        <v>299.90699799999999</v>
      </c>
      <c r="L164">
        <v>299.7083753</v>
      </c>
      <c r="M164">
        <v>302.4306818</v>
      </c>
      <c r="N164">
        <v>0.54</v>
      </c>
      <c r="O164">
        <v>25567.811399999999</v>
      </c>
      <c r="Q164">
        <v>299.14999999999998</v>
      </c>
      <c r="R164">
        <v>26</v>
      </c>
      <c r="S164">
        <f t="shared" si="13"/>
        <v>26.428801200000009</v>
      </c>
      <c r="T164">
        <f t="shared" si="14"/>
        <v>26.031177100000036</v>
      </c>
      <c r="U164">
        <f t="shared" si="15"/>
        <v>25.837235399999997</v>
      </c>
      <c r="V164">
        <f t="shared" si="16"/>
        <v>26.75699800000001</v>
      </c>
      <c r="W164">
        <f t="shared" si="17"/>
        <v>26.558375300000023</v>
      </c>
      <c r="Y164">
        <f t="shared" si="18"/>
        <v>40.5</v>
      </c>
    </row>
    <row r="165" spans="1:25" x14ac:dyDescent="0.25">
      <c r="A165">
        <v>0</v>
      </c>
      <c r="B165">
        <v>0.43021592199999997</v>
      </c>
      <c r="C165">
        <v>0.302431646</v>
      </c>
      <c r="D165">
        <v>0.27114256599999997</v>
      </c>
      <c r="E165">
        <v>0.36474873899999999</v>
      </c>
      <c r="F165">
        <v>2.8545521000000001E-2</v>
      </c>
      <c r="G165">
        <v>2.896566231</v>
      </c>
      <c r="H165">
        <v>298.90104659999997</v>
      </c>
      <c r="I165">
        <v>298.72770539999999</v>
      </c>
      <c r="J165">
        <v>298.69418869999998</v>
      </c>
      <c r="K165">
        <v>299.1938935</v>
      </c>
      <c r="L165">
        <v>299.16418640000001</v>
      </c>
      <c r="M165">
        <v>302.27514200000002</v>
      </c>
      <c r="N165">
        <v>0.54500000000000004</v>
      </c>
      <c r="O165">
        <v>28035.04909</v>
      </c>
      <c r="Q165">
        <v>299.14999999999998</v>
      </c>
      <c r="R165">
        <v>26</v>
      </c>
      <c r="S165">
        <f t="shared" si="13"/>
        <v>25.751046599999995</v>
      </c>
      <c r="T165">
        <f t="shared" si="14"/>
        <v>25.577705400000013</v>
      </c>
      <c r="U165">
        <f t="shared" si="15"/>
        <v>25.544188700000007</v>
      </c>
      <c r="V165">
        <f t="shared" si="16"/>
        <v>26.043893500000024</v>
      </c>
      <c r="W165">
        <f t="shared" si="17"/>
        <v>26.014186400000028</v>
      </c>
      <c r="Y165">
        <f t="shared" si="18"/>
        <v>40.75</v>
      </c>
    </row>
    <row r="166" spans="1:25" x14ac:dyDescent="0.25">
      <c r="A166">
        <v>0</v>
      </c>
      <c r="B166">
        <v>0.29411584699999999</v>
      </c>
      <c r="C166">
        <v>0.141707257</v>
      </c>
      <c r="D166">
        <v>6.7352088000000004E-2</v>
      </c>
      <c r="E166">
        <v>0.32570990300000002</v>
      </c>
      <c r="F166">
        <v>7.5738747999999995E-2</v>
      </c>
      <c r="G166">
        <v>2.2197309939999998</v>
      </c>
      <c r="H166">
        <v>299.24665679999998</v>
      </c>
      <c r="I166">
        <v>299.27345279999997</v>
      </c>
      <c r="J166">
        <v>299.32348300000001</v>
      </c>
      <c r="K166">
        <v>299.39555430000001</v>
      </c>
      <c r="L166">
        <v>299.22362040000002</v>
      </c>
      <c r="M166">
        <v>302.05</v>
      </c>
      <c r="N166">
        <v>0.55000000000000004</v>
      </c>
      <c r="O166">
        <v>20907.843570000001</v>
      </c>
      <c r="Q166">
        <v>299.14999999999998</v>
      </c>
      <c r="R166">
        <v>26</v>
      </c>
      <c r="S166">
        <f t="shared" si="13"/>
        <v>26.096656800000005</v>
      </c>
      <c r="T166">
        <f t="shared" si="14"/>
        <v>26.123452799999995</v>
      </c>
      <c r="U166">
        <f t="shared" si="15"/>
        <v>26.173483000000033</v>
      </c>
      <c r="V166">
        <f t="shared" si="16"/>
        <v>26.245554300000038</v>
      </c>
      <c r="W166">
        <f t="shared" si="17"/>
        <v>26.073620400000038</v>
      </c>
      <c r="Y166">
        <f t="shared" si="18"/>
        <v>41</v>
      </c>
    </row>
    <row r="167" spans="1:25" x14ac:dyDescent="0.25">
      <c r="A167">
        <v>0</v>
      </c>
      <c r="B167">
        <v>0.20767586699999999</v>
      </c>
      <c r="C167">
        <v>0.13260622899999999</v>
      </c>
      <c r="D167">
        <v>9.0857854000000002E-2</v>
      </c>
      <c r="E167">
        <v>0.224305634</v>
      </c>
      <c r="F167">
        <v>2.9438237999999999E-2</v>
      </c>
      <c r="G167">
        <v>1.766217902</v>
      </c>
      <c r="H167">
        <v>299.63552120000003</v>
      </c>
      <c r="I167">
        <v>299.5145215</v>
      </c>
      <c r="J167">
        <v>299.4565111</v>
      </c>
      <c r="K167">
        <v>299.87417590000001</v>
      </c>
      <c r="L167">
        <v>299.5875312</v>
      </c>
      <c r="M167">
        <v>301.69829549999997</v>
      </c>
      <c r="N167">
        <v>0.56286057700000003</v>
      </c>
      <c r="O167">
        <v>16978.68852</v>
      </c>
      <c r="Q167">
        <v>299.14999999999998</v>
      </c>
      <c r="R167">
        <v>26</v>
      </c>
      <c r="S167">
        <f t="shared" si="13"/>
        <v>26.485521200000051</v>
      </c>
      <c r="T167">
        <f t="shared" si="14"/>
        <v>26.364521500000023</v>
      </c>
      <c r="U167">
        <f t="shared" si="15"/>
        <v>26.306511100000023</v>
      </c>
      <c r="V167">
        <f t="shared" si="16"/>
        <v>26.724175900000034</v>
      </c>
      <c r="W167">
        <f t="shared" si="17"/>
        <v>26.437531200000024</v>
      </c>
      <c r="Y167">
        <f t="shared" si="18"/>
        <v>41.25</v>
      </c>
    </row>
    <row r="168" spans="1:25" x14ac:dyDescent="0.25">
      <c r="A168">
        <v>0</v>
      </c>
      <c r="B168">
        <v>0.338897157</v>
      </c>
      <c r="C168">
        <v>0.26114978900000002</v>
      </c>
      <c r="D168">
        <v>0.25473705299999999</v>
      </c>
      <c r="E168">
        <v>0.33274213699999999</v>
      </c>
      <c r="F168">
        <v>-2.6640291999999999E-2</v>
      </c>
      <c r="G168">
        <v>2.4103549110000002</v>
      </c>
      <c r="H168">
        <v>299.21361610000002</v>
      </c>
      <c r="I168">
        <v>298.9701106</v>
      </c>
      <c r="J168">
        <v>298.87156950000002</v>
      </c>
      <c r="K168">
        <v>299.5866365</v>
      </c>
      <c r="L168">
        <v>299.40139049999999</v>
      </c>
      <c r="M168">
        <v>301.23181820000002</v>
      </c>
      <c r="N168">
        <v>0.58596153799999995</v>
      </c>
      <c r="O168">
        <v>22120.29926</v>
      </c>
      <c r="Q168">
        <v>299.14999999999998</v>
      </c>
      <c r="R168">
        <v>26</v>
      </c>
      <c r="S168">
        <f t="shared" si="13"/>
        <v>26.063616100000047</v>
      </c>
      <c r="T168">
        <f t="shared" si="14"/>
        <v>25.820110600000021</v>
      </c>
      <c r="U168">
        <f t="shared" si="15"/>
        <v>25.721569500000044</v>
      </c>
      <c r="V168">
        <f t="shared" si="16"/>
        <v>26.43663650000002</v>
      </c>
      <c r="W168">
        <f t="shared" si="17"/>
        <v>26.251390500000014</v>
      </c>
      <c r="Y168">
        <f t="shared" si="18"/>
        <v>41.5</v>
      </c>
    </row>
    <row r="169" spans="1:25" x14ac:dyDescent="0.25">
      <c r="A169">
        <v>0</v>
      </c>
      <c r="B169">
        <v>0.34938133999999998</v>
      </c>
      <c r="C169">
        <v>0.2195984</v>
      </c>
      <c r="D169">
        <v>0.180941773</v>
      </c>
      <c r="E169">
        <v>0.37266658899999999</v>
      </c>
      <c r="F169">
        <v>2.4075299000000001E-2</v>
      </c>
      <c r="G169">
        <v>2.5347169479999998</v>
      </c>
      <c r="H169">
        <v>298.92174879999999</v>
      </c>
      <c r="I169">
        <v>298.83520920000001</v>
      </c>
      <c r="J169">
        <v>298.84180959999998</v>
      </c>
      <c r="K169">
        <v>299.16368829999999</v>
      </c>
      <c r="L169">
        <v>299.0889828</v>
      </c>
      <c r="M169">
        <v>300.74943180000002</v>
      </c>
      <c r="N169">
        <v>0.61108173099999996</v>
      </c>
      <c r="O169">
        <v>20041.886190000001</v>
      </c>
      <c r="Q169">
        <v>299.14999999999998</v>
      </c>
      <c r="R169">
        <v>26</v>
      </c>
      <c r="S169">
        <f t="shared" si="13"/>
        <v>25.771748800000012</v>
      </c>
      <c r="T169">
        <f t="shared" si="14"/>
        <v>25.685209200000031</v>
      </c>
      <c r="U169">
        <f t="shared" si="15"/>
        <v>25.691809599999999</v>
      </c>
      <c r="V169">
        <f t="shared" si="16"/>
        <v>26.013688300000013</v>
      </c>
      <c r="W169">
        <f t="shared" si="17"/>
        <v>25.938982800000019</v>
      </c>
      <c r="Y169">
        <f t="shared" si="18"/>
        <v>41.75</v>
      </c>
    </row>
    <row r="170" spans="1:25" x14ac:dyDescent="0.25">
      <c r="A170">
        <v>0</v>
      </c>
      <c r="B170">
        <v>0.16829876799999999</v>
      </c>
      <c r="C170">
        <v>7.5447756000000005E-2</v>
      </c>
      <c r="D170">
        <v>5.1214552000000003E-2</v>
      </c>
      <c r="E170">
        <v>0.24875491799999999</v>
      </c>
      <c r="F170">
        <v>-2.0601745000000001E-2</v>
      </c>
      <c r="G170">
        <v>1.617215361</v>
      </c>
      <c r="H170">
        <v>299.6106049</v>
      </c>
      <c r="I170">
        <v>299.57652990000003</v>
      </c>
      <c r="J170">
        <v>299.46122009999999</v>
      </c>
      <c r="K170">
        <v>299.78544190000002</v>
      </c>
      <c r="L170">
        <v>299.52645990000002</v>
      </c>
      <c r="M170">
        <v>300.35000000000002</v>
      </c>
      <c r="N170">
        <v>0.63</v>
      </c>
      <c r="O170">
        <v>12990.69823</v>
      </c>
      <c r="Q170">
        <v>299.14999999999998</v>
      </c>
      <c r="R170">
        <v>26</v>
      </c>
      <c r="S170">
        <f t="shared" si="13"/>
        <v>26.460604900000021</v>
      </c>
      <c r="T170">
        <f t="shared" si="14"/>
        <v>26.426529900000048</v>
      </c>
      <c r="U170">
        <f t="shared" si="15"/>
        <v>26.311220100000014</v>
      </c>
      <c r="V170">
        <f t="shared" si="16"/>
        <v>26.635441900000046</v>
      </c>
      <c r="W170">
        <f t="shared" si="17"/>
        <v>26.376459900000043</v>
      </c>
      <c r="Y170">
        <f t="shared" si="18"/>
        <v>42</v>
      </c>
    </row>
    <row r="171" spans="1:25" x14ac:dyDescent="0.25">
      <c r="A171">
        <v>0</v>
      </c>
      <c r="B171">
        <v>0.19252665999999999</v>
      </c>
      <c r="C171">
        <v>0.152378131</v>
      </c>
      <c r="D171">
        <v>0.15563812799999999</v>
      </c>
      <c r="E171">
        <v>0.23249626900000001</v>
      </c>
      <c r="F171">
        <v>-6.1218396000000001E-2</v>
      </c>
      <c r="G171">
        <v>1.663041655</v>
      </c>
      <c r="H171">
        <v>299.5910442</v>
      </c>
      <c r="I171">
        <v>299.40578590000001</v>
      </c>
      <c r="J171">
        <v>299.22955789999997</v>
      </c>
      <c r="K171">
        <v>299.92910999999998</v>
      </c>
      <c r="L171">
        <v>299.64918790000002</v>
      </c>
      <c r="M171">
        <v>300.06093750000002</v>
      </c>
      <c r="N171">
        <v>0.63757451899999995</v>
      </c>
      <c r="O171">
        <v>12697.433720000001</v>
      </c>
      <c r="Q171">
        <v>299.14999999999998</v>
      </c>
      <c r="R171">
        <v>26</v>
      </c>
      <c r="S171">
        <f t="shared" si="13"/>
        <v>26.441044200000022</v>
      </c>
      <c r="T171">
        <f t="shared" si="14"/>
        <v>26.255785900000035</v>
      </c>
      <c r="U171">
        <f t="shared" si="15"/>
        <v>26.079557899999998</v>
      </c>
      <c r="V171">
        <f t="shared" si="16"/>
        <v>26.779110000000003</v>
      </c>
      <c r="W171">
        <f t="shared" si="17"/>
        <v>26.499187900000038</v>
      </c>
      <c r="Y171">
        <f t="shared" si="18"/>
        <v>42.25</v>
      </c>
    </row>
    <row r="172" spans="1:25" x14ac:dyDescent="0.25">
      <c r="A172">
        <v>0</v>
      </c>
      <c r="B172">
        <v>0.39719802399999998</v>
      </c>
      <c r="C172">
        <v>0.30960175299999998</v>
      </c>
      <c r="D172">
        <v>0.28346369199999999</v>
      </c>
      <c r="E172">
        <v>0.35442940699999997</v>
      </c>
      <c r="F172">
        <v>-1.0257854E-2</v>
      </c>
      <c r="G172">
        <v>2.7639053009999999</v>
      </c>
      <c r="H172">
        <v>298.82082939999998</v>
      </c>
      <c r="I172">
        <v>298.55005729999999</v>
      </c>
      <c r="J172">
        <v>298.55662369999999</v>
      </c>
      <c r="K172">
        <v>299.2604978</v>
      </c>
      <c r="L172">
        <v>299.18025979999999</v>
      </c>
      <c r="M172">
        <v>299.8125</v>
      </c>
      <c r="N172">
        <v>0.63878846199999995</v>
      </c>
      <c r="O172">
        <v>21575.202809999999</v>
      </c>
      <c r="Q172">
        <v>299.14999999999998</v>
      </c>
      <c r="R172">
        <v>26</v>
      </c>
      <c r="S172">
        <f t="shared" si="13"/>
        <v>25.670829400000002</v>
      </c>
      <c r="T172">
        <f t="shared" si="14"/>
        <v>25.400057300000014</v>
      </c>
      <c r="U172">
        <f t="shared" si="15"/>
        <v>25.406623700000011</v>
      </c>
      <c r="V172">
        <f t="shared" si="16"/>
        <v>26.110497800000019</v>
      </c>
      <c r="W172">
        <f t="shared" si="17"/>
        <v>26.03025980000001</v>
      </c>
      <c r="Y172">
        <f t="shared" si="18"/>
        <v>42.5</v>
      </c>
    </row>
    <row r="173" spans="1:25" x14ac:dyDescent="0.25">
      <c r="A173">
        <v>0</v>
      </c>
      <c r="B173">
        <v>0.30487239300000002</v>
      </c>
      <c r="C173">
        <v>0.17714181800000001</v>
      </c>
      <c r="D173">
        <v>0.113077963</v>
      </c>
      <c r="E173">
        <v>0.387442599</v>
      </c>
      <c r="F173">
        <v>2.6862840999999998E-2</v>
      </c>
      <c r="G173">
        <v>2.3877805140000001</v>
      </c>
      <c r="H173">
        <v>298.78557890000002</v>
      </c>
      <c r="I173">
        <v>298.72554150000002</v>
      </c>
      <c r="J173">
        <v>298.78306759999998</v>
      </c>
      <c r="K173">
        <v>298.89427460000002</v>
      </c>
      <c r="L173">
        <v>298.87819159999998</v>
      </c>
      <c r="M173">
        <v>299.55781250000001</v>
      </c>
      <c r="N173">
        <v>0.64060817299999995</v>
      </c>
      <c r="O173">
        <v>17479.653030000001</v>
      </c>
      <c r="Q173">
        <v>299.14999999999998</v>
      </c>
      <c r="R173">
        <v>26</v>
      </c>
      <c r="S173">
        <f t="shared" si="13"/>
        <v>25.635578900000041</v>
      </c>
      <c r="T173">
        <f t="shared" si="14"/>
        <v>25.575541500000043</v>
      </c>
      <c r="U173">
        <f t="shared" si="15"/>
        <v>25.633067600000004</v>
      </c>
      <c r="V173">
        <f t="shared" si="16"/>
        <v>25.74427460000004</v>
      </c>
      <c r="W173">
        <f t="shared" si="17"/>
        <v>25.728191600000002</v>
      </c>
      <c r="Y173">
        <f t="shared" si="18"/>
        <v>42.75</v>
      </c>
    </row>
    <row r="174" spans="1:25" x14ac:dyDescent="0.25">
      <c r="A174">
        <v>0</v>
      </c>
      <c r="B174">
        <v>0.177397785</v>
      </c>
      <c r="C174">
        <v>9.4557713000000002E-2</v>
      </c>
      <c r="D174">
        <v>5.6977988E-2</v>
      </c>
      <c r="E174">
        <v>0.28486856599999999</v>
      </c>
      <c r="F174">
        <v>-0.12035654699999999</v>
      </c>
      <c r="G174">
        <v>1.562324367</v>
      </c>
      <c r="H174">
        <v>299.23665290000002</v>
      </c>
      <c r="I174">
        <v>299.17779080000003</v>
      </c>
      <c r="J174">
        <v>299.10413399999999</v>
      </c>
      <c r="K174">
        <v>299.34183519999999</v>
      </c>
      <c r="L174">
        <v>299.20967189999999</v>
      </c>
      <c r="M174">
        <v>299.25</v>
      </c>
      <c r="N174">
        <v>0.65</v>
      </c>
      <c r="O174">
        <v>10399.08301</v>
      </c>
      <c r="Q174">
        <v>299.14999999999998</v>
      </c>
      <c r="R174">
        <v>26</v>
      </c>
      <c r="S174">
        <f t="shared" si="13"/>
        <v>26.086652900000047</v>
      </c>
      <c r="T174">
        <f t="shared" si="14"/>
        <v>26.027790800000048</v>
      </c>
      <c r="U174">
        <f t="shared" si="15"/>
        <v>25.95413400000001</v>
      </c>
      <c r="V174">
        <f t="shared" si="16"/>
        <v>26.191835200000014</v>
      </c>
      <c r="W174">
        <f t="shared" si="17"/>
        <v>26.059671900000012</v>
      </c>
      <c r="Y174">
        <f t="shared" si="18"/>
        <v>43</v>
      </c>
    </row>
    <row r="175" spans="1:25" x14ac:dyDescent="0.25">
      <c r="A175">
        <v>0</v>
      </c>
      <c r="B175">
        <v>5.71786E-3</v>
      </c>
      <c r="C175">
        <v>5.4298159999999996E-3</v>
      </c>
      <c r="D175">
        <v>5.7178560000000003E-3</v>
      </c>
      <c r="E175">
        <v>4.2231930000000001E-3</v>
      </c>
      <c r="F175">
        <v>-0.20238115000000001</v>
      </c>
      <c r="G175">
        <v>4.8212064999999998E-2</v>
      </c>
      <c r="H175">
        <v>300.20289559999998</v>
      </c>
      <c r="I175">
        <v>300.1248238</v>
      </c>
      <c r="J175">
        <v>299.79716509999997</v>
      </c>
      <c r="K175">
        <v>300.69246249999998</v>
      </c>
      <c r="L175">
        <v>300.13754</v>
      </c>
      <c r="M175">
        <v>298.85726099999999</v>
      </c>
      <c r="N175">
        <v>0.66965624999999995</v>
      </c>
      <c r="O175">
        <v>1468.655469</v>
      </c>
      <c r="Q175">
        <v>299.14999999999998</v>
      </c>
      <c r="R175">
        <v>26</v>
      </c>
      <c r="S175">
        <f t="shared" si="13"/>
        <v>27.052895599999999</v>
      </c>
      <c r="T175">
        <f t="shared" si="14"/>
        <v>26.974823800000024</v>
      </c>
      <c r="U175">
        <f t="shared" si="15"/>
        <v>26.647165099999995</v>
      </c>
      <c r="V175">
        <f t="shared" si="16"/>
        <v>27.542462499999999</v>
      </c>
      <c r="W175">
        <f t="shared" si="17"/>
        <v>26.987540000000024</v>
      </c>
      <c r="Y175">
        <f t="shared" si="18"/>
        <v>43.25</v>
      </c>
    </row>
    <row r="176" spans="1:25" x14ac:dyDescent="0.25">
      <c r="A176">
        <v>0</v>
      </c>
      <c r="B176">
        <v>1.1584789999999999E-2</v>
      </c>
      <c r="C176">
        <v>1.1001197000000001E-2</v>
      </c>
      <c r="D176">
        <v>1.1584789999999999E-2</v>
      </c>
      <c r="E176">
        <v>8.5564869999999998E-3</v>
      </c>
      <c r="F176">
        <v>-0.205666918</v>
      </c>
      <c r="G176">
        <v>9.7681713000000003E-2</v>
      </c>
      <c r="H176">
        <v>300.2908888</v>
      </c>
      <c r="I176">
        <v>300.21579059999999</v>
      </c>
      <c r="J176">
        <v>299.89755939999998</v>
      </c>
      <c r="K176">
        <v>300.76414979999998</v>
      </c>
      <c r="L176">
        <v>300.23136829999999</v>
      </c>
      <c r="M176">
        <v>298.41102940000002</v>
      </c>
      <c r="N176">
        <v>0.69441666700000004</v>
      </c>
      <c r="O176">
        <v>1499.6730279999999</v>
      </c>
      <c r="Q176">
        <v>299.14999999999998</v>
      </c>
      <c r="R176">
        <v>26</v>
      </c>
      <c r="S176">
        <f t="shared" si="13"/>
        <v>27.140888800000027</v>
      </c>
      <c r="T176">
        <f t="shared" si="14"/>
        <v>27.065790600000014</v>
      </c>
      <c r="U176">
        <f t="shared" si="15"/>
        <v>26.7475594</v>
      </c>
      <c r="V176">
        <f t="shared" si="16"/>
        <v>27.614149800000007</v>
      </c>
      <c r="W176">
        <f t="shared" si="17"/>
        <v>27.081368300000008</v>
      </c>
      <c r="Y176">
        <f t="shared" si="18"/>
        <v>43.5</v>
      </c>
    </row>
    <row r="177" spans="1:25" x14ac:dyDescent="0.25">
      <c r="A177">
        <v>0</v>
      </c>
      <c r="B177">
        <v>1.6075815E-2</v>
      </c>
      <c r="C177">
        <v>1.5265983E-2</v>
      </c>
      <c r="D177">
        <v>1.6075815E-2</v>
      </c>
      <c r="E177">
        <v>1.1873542000000001E-2</v>
      </c>
      <c r="F177">
        <v>-0.20778642</v>
      </c>
      <c r="G177">
        <v>0.13555044799999999</v>
      </c>
      <c r="H177">
        <v>300.22411699999998</v>
      </c>
      <c r="I177">
        <v>300.1415791</v>
      </c>
      <c r="J177">
        <v>299.8227541</v>
      </c>
      <c r="K177">
        <v>300.68637919999998</v>
      </c>
      <c r="L177">
        <v>300.19407230000002</v>
      </c>
      <c r="M177">
        <v>297.95928309999999</v>
      </c>
      <c r="N177">
        <v>0.71946874999999999</v>
      </c>
      <c r="O177">
        <v>1537.495523</v>
      </c>
      <c r="Q177">
        <v>299.14999999999998</v>
      </c>
      <c r="R177">
        <v>26</v>
      </c>
      <c r="S177">
        <f t="shared" si="13"/>
        <v>27.074117000000001</v>
      </c>
      <c r="T177">
        <f t="shared" si="14"/>
        <v>26.991579100000024</v>
      </c>
      <c r="U177">
        <f t="shared" si="15"/>
        <v>26.67275410000002</v>
      </c>
      <c r="V177">
        <f t="shared" si="16"/>
        <v>27.536379199999999</v>
      </c>
      <c r="W177">
        <f t="shared" si="17"/>
        <v>27.044072300000039</v>
      </c>
      <c r="Y177">
        <f t="shared" si="18"/>
        <v>43.75</v>
      </c>
    </row>
    <row r="178" spans="1:25" x14ac:dyDescent="0.25">
      <c r="A178">
        <v>0</v>
      </c>
      <c r="B178">
        <v>1.6253804E-2</v>
      </c>
      <c r="C178">
        <v>1.5435005E-2</v>
      </c>
      <c r="D178">
        <v>1.6253804E-2</v>
      </c>
      <c r="E178">
        <v>1.2005004E-2</v>
      </c>
      <c r="F178">
        <v>-0.210932851</v>
      </c>
      <c r="G178">
        <v>0.13705131100000001</v>
      </c>
      <c r="H178">
        <v>300.20060580000001</v>
      </c>
      <c r="I178">
        <v>300.122635</v>
      </c>
      <c r="J178">
        <v>299.79890139999998</v>
      </c>
      <c r="K178">
        <v>300.6536327</v>
      </c>
      <c r="L178">
        <v>300.1869858</v>
      </c>
      <c r="M178">
        <v>297.55</v>
      </c>
      <c r="N178">
        <v>0.74</v>
      </c>
      <c r="O178">
        <v>8768.0931049999999</v>
      </c>
      <c r="Q178">
        <v>299.14999999999998</v>
      </c>
      <c r="R178">
        <v>30</v>
      </c>
      <c r="S178">
        <f t="shared" si="13"/>
        <v>27.050605800000028</v>
      </c>
      <c r="T178">
        <f t="shared" si="14"/>
        <v>26.972635000000025</v>
      </c>
      <c r="U178">
        <f t="shared" si="15"/>
        <v>26.6489014</v>
      </c>
      <c r="V178">
        <f t="shared" si="16"/>
        <v>27.503632700000026</v>
      </c>
      <c r="W178">
        <f t="shared" si="17"/>
        <v>27.036985800000025</v>
      </c>
      <c r="Y178">
        <f t="shared" si="18"/>
        <v>44</v>
      </c>
    </row>
    <row r="179" spans="1:25" x14ac:dyDescent="0.25">
      <c r="A179">
        <v>0</v>
      </c>
      <c r="B179">
        <v>1.01499E-4</v>
      </c>
      <c r="C179" s="1">
        <v>9.6399999999999999E-5</v>
      </c>
      <c r="D179">
        <v>1.01499E-4</v>
      </c>
      <c r="E179" s="1">
        <v>7.4999999999999993E-5</v>
      </c>
      <c r="F179">
        <v>-0.22075582999999999</v>
      </c>
      <c r="G179">
        <v>8.5582500000000005E-4</v>
      </c>
      <c r="H179">
        <v>300.30671890000002</v>
      </c>
      <c r="I179">
        <v>300.26726480000002</v>
      </c>
      <c r="J179">
        <v>299.93828009999999</v>
      </c>
      <c r="K179">
        <v>300.7609842</v>
      </c>
      <c r="L179">
        <v>300.26768939999999</v>
      </c>
      <c r="M179">
        <v>297.19227940000002</v>
      </c>
      <c r="N179">
        <v>0.75618303600000003</v>
      </c>
      <c r="O179" s="1">
        <v>-5.03E-8</v>
      </c>
      <c r="Q179">
        <v>299.14999999999998</v>
      </c>
      <c r="R179">
        <v>30</v>
      </c>
      <c r="S179">
        <f t="shared" si="13"/>
        <v>27.156718900000044</v>
      </c>
      <c r="T179">
        <f t="shared" si="14"/>
        <v>27.117264800000044</v>
      </c>
      <c r="U179">
        <f t="shared" si="15"/>
        <v>26.788280100000009</v>
      </c>
      <c r="V179">
        <f t="shared" si="16"/>
        <v>27.610984200000019</v>
      </c>
      <c r="W179">
        <f t="shared" si="17"/>
        <v>27.117689400000017</v>
      </c>
      <c r="Y179">
        <f t="shared" si="18"/>
        <v>44.25</v>
      </c>
    </row>
    <row r="180" spans="1:25" x14ac:dyDescent="0.25">
      <c r="A180">
        <v>0</v>
      </c>
      <c r="B180">
        <v>1.0273299999999999E-4</v>
      </c>
      <c r="C180" s="1">
        <v>9.7600000000000001E-5</v>
      </c>
      <c r="D180">
        <v>1.0273299999999999E-4</v>
      </c>
      <c r="E180" s="1">
        <v>7.5900000000000002E-5</v>
      </c>
      <c r="F180">
        <v>-0.223089857</v>
      </c>
      <c r="G180">
        <v>8.6622999999999995E-4</v>
      </c>
      <c r="H180">
        <v>300.30688859999998</v>
      </c>
      <c r="I180">
        <v>300.27624859999997</v>
      </c>
      <c r="J180">
        <v>299.95389940000001</v>
      </c>
      <c r="K180">
        <v>300.75626499999998</v>
      </c>
      <c r="L180">
        <v>300.27907490000001</v>
      </c>
      <c r="M180">
        <v>296.8764706</v>
      </c>
      <c r="N180">
        <v>0.77065476200000005</v>
      </c>
      <c r="O180" s="1">
        <v>-5.1599999999999999E-8</v>
      </c>
      <c r="Q180">
        <v>299.14999999999998</v>
      </c>
      <c r="R180">
        <v>30</v>
      </c>
      <c r="S180">
        <f t="shared" si="13"/>
        <v>27.156888600000002</v>
      </c>
      <c r="T180">
        <f t="shared" si="14"/>
        <v>27.126248599999997</v>
      </c>
      <c r="U180">
        <f t="shared" si="15"/>
        <v>26.803899400000034</v>
      </c>
      <c r="V180">
        <f t="shared" si="16"/>
        <v>27.606265000000008</v>
      </c>
      <c r="W180">
        <f t="shared" si="17"/>
        <v>27.129074900000035</v>
      </c>
      <c r="Y180">
        <f t="shared" si="18"/>
        <v>44.5</v>
      </c>
    </row>
    <row r="181" spans="1:25" x14ac:dyDescent="0.25">
      <c r="A181">
        <v>0</v>
      </c>
      <c r="B181">
        <v>1.04337E-4</v>
      </c>
      <c r="C181" s="1">
        <v>9.9099999999999996E-5</v>
      </c>
      <c r="D181">
        <v>1.04337E-4</v>
      </c>
      <c r="E181" s="1">
        <v>7.7100000000000004E-5</v>
      </c>
      <c r="F181">
        <v>-0.22494555799999999</v>
      </c>
      <c r="G181">
        <v>8.7975100000000001E-4</v>
      </c>
      <c r="H181">
        <v>300.29131050000001</v>
      </c>
      <c r="I181">
        <v>300.26851169999998</v>
      </c>
      <c r="J181">
        <v>299.9471211</v>
      </c>
      <c r="K181">
        <v>300.7367936</v>
      </c>
      <c r="L181">
        <v>300.27555530000001</v>
      </c>
      <c r="M181">
        <v>296.62242650000002</v>
      </c>
      <c r="N181">
        <v>0.78229910700000005</v>
      </c>
      <c r="O181" s="1">
        <v>-5.32E-8</v>
      </c>
      <c r="Q181">
        <v>299.14999999999998</v>
      </c>
      <c r="R181">
        <v>30</v>
      </c>
      <c r="S181">
        <f t="shared" si="13"/>
        <v>27.141310500000031</v>
      </c>
      <c r="T181">
        <f t="shared" si="14"/>
        <v>27.118511699999999</v>
      </c>
      <c r="U181">
        <f t="shared" si="15"/>
        <v>26.797121100000027</v>
      </c>
      <c r="V181">
        <f t="shared" si="16"/>
        <v>27.586793600000021</v>
      </c>
      <c r="W181">
        <f t="shared" si="17"/>
        <v>27.12555530000003</v>
      </c>
      <c r="Y181">
        <f t="shared" si="18"/>
        <v>44.75</v>
      </c>
    </row>
    <row r="182" spans="1:25" x14ac:dyDescent="0.25">
      <c r="A182">
        <v>0</v>
      </c>
      <c r="B182">
        <v>1.05334E-4</v>
      </c>
      <c r="C182">
        <v>1.00028E-4</v>
      </c>
      <c r="D182">
        <v>1.05334E-4</v>
      </c>
      <c r="E182" s="1">
        <v>7.7799999999999994E-5</v>
      </c>
      <c r="F182">
        <v>-0.22615902399999999</v>
      </c>
      <c r="G182">
        <v>8.8816199999999996E-4</v>
      </c>
      <c r="H182">
        <v>300.27400349999999</v>
      </c>
      <c r="I182">
        <v>300.25769630000002</v>
      </c>
      <c r="J182">
        <v>299.93700369999999</v>
      </c>
      <c r="K182">
        <v>300.7148947</v>
      </c>
      <c r="L182">
        <v>300.26749960000001</v>
      </c>
      <c r="M182">
        <v>296.45</v>
      </c>
      <c r="N182">
        <v>0.79</v>
      </c>
      <c r="O182" s="1">
        <v>-5.4200000000000002E-8</v>
      </c>
      <c r="Q182">
        <v>299.14999999999998</v>
      </c>
      <c r="R182">
        <v>30</v>
      </c>
      <c r="S182">
        <f t="shared" si="13"/>
        <v>27.124003500000015</v>
      </c>
      <c r="T182">
        <f t="shared" si="14"/>
        <v>27.107696300000043</v>
      </c>
      <c r="U182">
        <f t="shared" si="15"/>
        <v>26.787003700000014</v>
      </c>
      <c r="V182">
        <f t="shared" si="16"/>
        <v>27.564894700000025</v>
      </c>
      <c r="W182">
        <f t="shared" si="17"/>
        <v>27.117499600000031</v>
      </c>
      <c r="Y182">
        <f t="shared" si="18"/>
        <v>45</v>
      </c>
    </row>
    <row r="183" spans="1:25" x14ac:dyDescent="0.25">
      <c r="A183">
        <v>0</v>
      </c>
      <c r="B183">
        <v>1.06224E-4</v>
      </c>
      <c r="C183">
        <v>1.0087299999999999E-4</v>
      </c>
      <c r="D183">
        <v>1.06224E-4</v>
      </c>
      <c r="E183" s="1">
        <v>7.8499999999999997E-5</v>
      </c>
      <c r="F183">
        <v>-0.226424074</v>
      </c>
      <c r="G183">
        <v>8.9565999999999995E-4</v>
      </c>
      <c r="H183">
        <v>300.25796300000002</v>
      </c>
      <c r="I183">
        <v>300.24655109999998</v>
      </c>
      <c r="J183">
        <v>299.92723360000002</v>
      </c>
      <c r="K183">
        <v>300.69305600000001</v>
      </c>
      <c r="L183">
        <v>300.25585469999999</v>
      </c>
      <c r="M183">
        <v>296.40117190000001</v>
      </c>
      <c r="N183">
        <v>0.79184151800000002</v>
      </c>
      <c r="O183" s="1">
        <v>-5.5099999999999997E-8</v>
      </c>
      <c r="Q183">
        <v>299.14999999999998</v>
      </c>
      <c r="R183">
        <v>30</v>
      </c>
      <c r="S183">
        <f t="shared" si="13"/>
        <v>27.107963000000041</v>
      </c>
      <c r="T183">
        <f t="shared" si="14"/>
        <v>27.096551099999999</v>
      </c>
      <c r="U183">
        <f t="shared" si="15"/>
        <v>26.777233600000045</v>
      </c>
      <c r="V183">
        <f t="shared" si="16"/>
        <v>27.543056000000036</v>
      </c>
      <c r="W183">
        <f t="shared" si="17"/>
        <v>27.105854700000009</v>
      </c>
      <c r="Y183">
        <f t="shared" si="18"/>
        <v>45.25</v>
      </c>
    </row>
    <row r="184" spans="1:25" x14ac:dyDescent="0.25">
      <c r="A184">
        <v>0</v>
      </c>
      <c r="B184">
        <v>1.0710899999999999E-4</v>
      </c>
      <c r="C184">
        <v>1.0171299999999999E-4</v>
      </c>
      <c r="D184">
        <v>1.0710899999999999E-4</v>
      </c>
      <c r="E184" s="1">
        <v>7.9099999999999998E-5</v>
      </c>
      <c r="F184">
        <v>-0.226022262</v>
      </c>
      <c r="G184">
        <v>9.0311999999999999E-4</v>
      </c>
      <c r="H184">
        <v>300.24424349999998</v>
      </c>
      <c r="I184">
        <v>300.23608400000001</v>
      </c>
      <c r="J184">
        <v>299.91923680000002</v>
      </c>
      <c r="K184">
        <v>300.6722355</v>
      </c>
      <c r="L184">
        <v>300.24242550000002</v>
      </c>
      <c r="M184">
        <v>296.4447917</v>
      </c>
      <c r="N184">
        <v>0.78955357100000001</v>
      </c>
      <c r="O184" s="1">
        <v>-5.6099999999999999E-8</v>
      </c>
      <c r="Q184">
        <v>299.14999999999998</v>
      </c>
      <c r="R184">
        <v>30</v>
      </c>
      <c r="S184">
        <f t="shared" si="13"/>
        <v>27.094243500000005</v>
      </c>
      <c r="T184">
        <f t="shared" si="14"/>
        <v>27.086084000000028</v>
      </c>
      <c r="U184">
        <f t="shared" si="15"/>
        <v>26.769236800000044</v>
      </c>
      <c r="V184">
        <f t="shared" si="16"/>
        <v>27.522235500000022</v>
      </c>
      <c r="W184">
        <f t="shared" si="17"/>
        <v>27.092425500000047</v>
      </c>
      <c r="Y184">
        <f t="shared" si="18"/>
        <v>45.5</v>
      </c>
    </row>
    <row r="185" spans="1:25" x14ac:dyDescent="0.25">
      <c r="A185">
        <v>0</v>
      </c>
      <c r="B185">
        <v>1.07967E-4</v>
      </c>
      <c r="C185">
        <v>1.02528E-4</v>
      </c>
      <c r="D185">
        <v>1.07967E-4</v>
      </c>
      <c r="E185" s="1">
        <v>7.9699999999999999E-5</v>
      </c>
      <c r="F185">
        <v>-0.22565780099999999</v>
      </c>
      <c r="G185">
        <v>9.1035499999999995E-4</v>
      </c>
      <c r="H185">
        <v>300.23146259999999</v>
      </c>
      <c r="I185">
        <v>300.22602710000001</v>
      </c>
      <c r="J185">
        <v>299.91249859999999</v>
      </c>
      <c r="K185">
        <v>300.6522233</v>
      </c>
      <c r="L185">
        <v>300.22950120000002</v>
      </c>
      <c r="M185">
        <v>296.49101560000003</v>
      </c>
      <c r="N185">
        <v>0.787488839</v>
      </c>
      <c r="O185" s="1">
        <v>-5.7000000000000001E-8</v>
      </c>
      <c r="Q185">
        <v>299.14999999999998</v>
      </c>
      <c r="R185">
        <v>30</v>
      </c>
      <c r="S185">
        <f t="shared" si="13"/>
        <v>27.081462600000009</v>
      </c>
      <c r="T185">
        <f t="shared" si="14"/>
        <v>27.076027100000033</v>
      </c>
      <c r="U185">
        <f t="shared" si="15"/>
        <v>26.762498600000015</v>
      </c>
      <c r="V185">
        <f t="shared" si="16"/>
        <v>27.502223300000026</v>
      </c>
      <c r="W185">
        <f t="shared" si="17"/>
        <v>27.079501200000038</v>
      </c>
      <c r="Y185">
        <f t="shared" si="18"/>
        <v>45.75</v>
      </c>
    </row>
    <row r="186" spans="1:25" x14ac:dyDescent="0.25">
      <c r="A186">
        <v>0</v>
      </c>
      <c r="B186">
        <v>1.08799E-4</v>
      </c>
      <c r="C186">
        <v>1.03319E-4</v>
      </c>
      <c r="D186">
        <v>1.08799E-4</v>
      </c>
      <c r="E186" s="1">
        <v>8.0400000000000003E-5</v>
      </c>
      <c r="F186">
        <v>-0.22603382899999999</v>
      </c>
      <c r="G186">
        <v>9.17375E-4</v>
      </c>
      <c r="H186">
        <v>300.21728760000002</v>
      </c>
      <c r="I186">
        <v>300.21542950000003</v>
      </c>
      <c r="J186">
        <v>299.90490269999998</v>
      </c>
      <c r="K186">
        <v>300.6321585</v>
      </c>
      <c r="L186">
        <v>300.21874059999999</v>
      </c>
      <c r="M186">
        <v>296.45</v>
      </c>
      <c r="N186">
        <v>0.79</v>
      </c>
      <c r="O186" s="1">
        <v>-5.7800000000000001E-8</v>
      </c>
      <c r="Q186">
        <v>299.14999999999998</v>
      </c>
      <c r="R186">
        <v>30</v>
      </c>
      <c r="S186">
        <f t="shared" si="13"/>
        <v>27.067287600000043</v>
      </c>
      <c r="T186">
        <f t="shared" si="14"/>
        <v>27.06542950000005</v>
      </c>
      <c r="U186">
        <f t="shared" si="15"/>
        <v>26.754902700000002</v>
      </c>
      <c r="V186">
        <f t="shared" si="16"/>
        <v>27.482158500000025</v>
      </c>
      <c r="W186">
        <f t="shared" si="17"/>
        <v>27.068740600000012</v>
      </c>
      <c r="Y186">
        <f t="shared" si="18"/>
        <v>46</v>
      </c>
    </row>
    <row r="187" spans="1:25" x14ac:dyDescent="0.25">
      <c r="A187">
        <v>0</v>
      </c>
      <c r="B187">
        <v>1.0917E-4</v>
      </c>
      <c r="C187">
        <v>1.0367E-4</v>
      </c>
      <c r="D187">
        <v>1.0917E-4</v>
      </c>
      <c r="E187" s="1">
        <v>8.0599999999999994E-5</v>
      </c>
      <c r="F187">
        <v>-0.22715945500000001</v>
      </c>
      <c r="G187">
        <v>9.2049999999999999E-4</v>
      </c>
      <c r="H187">
        <v>300.2010191</v>
      </c>
      <c r="I187">
        <v>300.20363279999998</v>
      </c>
      <c r="J187">
        <v>299.89553130000002</v>
      </c>
      <c r="K187">
        <v>300.61145210000001</v>
      </c>
      <c r="L187">
        <v>300.20920130000002</v>
      </c>
      <c r="M187">
        <v>296.33476560000003</v>
      </c>
      <c r="N187">
        <v>0.79714843800000001</v>
      </c>
      <c r="O187" s="1">
        <v>-5.8199999999999998E-8</v>
      </c>
      <c r="Q187">
        <v>299.14999999999998</v>
      </c>
      <c r="R187">
        <v>30</v>
      </c>
      <c r="S187">
        <f t="shared" si="13"/>
        <v>27.051019100000019</v>
      </c>
      <c r="T187">
        <f t="shared" si="14"/>
        <v>27.053632800000003</v>
      </c>
      <c r="U187">
        <f t="shared" si="15"/>
        <v>26.745531300000039</v>
      </c>
      <c r="V187">
        <f t="shared" si="16"/>
        <v>27.461452100000031</v>
      </c>
      <c r="W187">
        <f t="shared" si="17"/>
        <v>27.059201300000041</v>
      </c>
      <c r="Y187">
        <f t="shared" si="18"/>
        <v>46.25</v>
      </c>
    </row>
    <row r="188" spans="1:25" x14ac:dyDescent="0.25">
      <c r="A188">
        <v>0</v>
      </c>
      <c r="B188">
        <v>1.08238E-4</v>
      </c>
      <c r="C188">
        <v>1.02785E-4</v>
      </c>
      <c r="D188">
        <v>1.08238E-4</v>
      </c>
      <c r="E188" s="1">
        <v>7.9900000000000004E-5</v>
      </c>
      <c r="F188">
        <v>-0.228450497</v>
      </c>
      <c r="G188">
        <v>9.1264000000000004E-4</v>
      </c>
      <c r="H188">
        <v>300.18575980000003</v>
      </c>
      <c r="I188">
        <v>300.19174770000001</v>
      </c>
      <c r="J188">
        <v>299.8854207</v>
      </c>
      <c r="K188">
        <v>300.59118310000002</v>
      </c>
      <c r="L188">
        <v>300.20016049999998</v>
      </c>
      <c r="M188">
        <v>296.21562499999999</v>
      </c>
      <c r="N188">
        <v>0.80531249999999999</v>
      </c>
      <c r="O188" s="1">
        <v>-5.7200000000000003E-8</v>
      </c>
      <c r="Q188">
        <v>299.14999999999998</v>
      </c>
      <c r="R188">
        <v>30</v>
      </c>
      <c r="S188">
        <f t="shared" si="13"/>
        <v>27.035759800000051</v>
      </c>
      <c r="T188">
        <f t="shared" si="14"/>
        <v>27.04174770000003</v>
      </c>
      <c r="U188">
        <f t="shared" si="15"/>
        <v>26.73542070000002</v>
      </c>
      <c r="V188">
        <f t="shared" si="16"/>
        <v>27.441183100000046</v>
      </c>
      <c r="W188">
        <f t="shared" si="17"/>
        <v>27.050160500000004</v>
      </c>
      <c r="Y188">
        <f t="shared" si="18"/>
        <v>46.5</v>
      </c>
    </row>
    <row r="189" spans="1:25" x14ac:dyDescent="0.25">
      <c r="A189">
        <v>0</v>
      </c>
      <c r="B189">
        <v>1.0717000000000001E-4</v>
      </c>
      <c r="C189">
        <v>1.01772E-4</v>
      </c>
      <c r="D189">
        <v>1.0717000000000001E-4</v>
      </c>
      <c r="E189" s="1">
        <v>7.9200000000000001E-5</v>
      </c>
      <c r="F189">
        <v>-0.22971702599999999</v>
      </c>
      <c r="G189">
        <v>9.0364000000000004E-4</v>
      </c>
      <c r="H189">
        <v>300.17150550000002</v>
      </c>
      <c r="I189">
        <v>300.17996590000001</v>
      </c>
      <c r="J189">
        <v>299.8750144</v>
      </c>
      <c r="K189">
        <v>300.57143120000001</v>
      </c>
      <c r="L189">
        <v>300.19181090000001</v>
      </c>
      <c r="M189">
        <v>296.08867190000001</v>
      </c>
      <c r="N189">
        <v>0.81332031299999996</v>
      </c>
      <c r="O189" s="1">
        <v>-5.6099999999999999E-8</v>
      </c>
      <c r="Q189">
        <v>299.14999999999998</v>
      </c>
      <c r="R189">
        <v>30</v>
      </c>
      <c r="S189">
        <f t="shared" si="13"/>
        <v>27.021505500000046</v>
      </c>
      <c r="T189">
        <f t="shared" si="14"/>
        <v>27.029965900000036</v>
      </c>
      <c r="U189">
        <f t="shared" si="15"/>
        <v>26.72501440000002</v>
      </c>
      <c r="V189">
        <f t="shared" si="16"/>
        <v>27.421431200000029</v>
      </c>
      <c r="W189">
        <f t="shared" si="17"/>
        <v>27.04181090000003</v>
      </c>
      <c r="Y189">
        <f t="shared" si="18"/>
        <v>46.75</v>
      </c>
    </row>
    <row r="190" spans="1:25" x14ac:dyDescent="0.25">
      <c r="A190">
        <v>0</v>
      </c>
      <c r="B190">
        <v>1.06226E-4</v>
      </c>
      <c r="C190">
        <v>1.00875E-4</v>
      </c>
      <c r="D190">
        <v>1.06226E-4</v>
      </c>
      <c r="E190" s="1">
        <v>7.8499999999999997E-5</v>
      </c>
      <c r="F190">
        <v>-0.23076871700000001</v>
      </c>
      <c r="G190">
        <v>8.9567399999999995E-4</v>
      </c>
      <c r="H190">
        <v>300.15737890000003</v>
      </c>
      <c r="I190">
        <v>300.16798019999999</v>
      </c>
      <c r="J190">
        <v>299.86414300000001</v>
      </c>
      <c r="K190">
        <v>300.55185510000001</v>
      </c>
      <c r="L190">
        <v>300.18384909999997</v>
      </c>
      <c r="M190">
        <v>295.95</v>
      </c>
      <c r="N190">
        <v>0.82</v>
      </c>
      <c r="O190" s="1">
        <v>-5.5099999999999997E-8</v>
      </c>
      <c r="Q190">
        <v>299.14999999999998</v>
      </c>
      <c r="R190">
        <v>30</v>
      </c>
      <c r="S190">
        <f t="shared" si="13"/>
        <v>27.007378900000049</v>
      </c>
      <c r="T190">
        <f t="shared" si="14"/>
        <v>27.017980200000011</v>
      </c>
      <c r="U190">
        <f t="shared" si="15"/>
        <v>26.714143000000035</v>
      </c>
      <c r="V190">
        <f t="shared" si="16"/>
        <v>27.401855100000034</v>
      </c>
      <c r="W190">
        <f t="shared" si="17"/>
        <v>27.033849099999998</v>
      </c>
      <c r="Y190">
        <f t="shared" si="18"/>
        <v>47</v>
      </c>
    </row>
    <row r="191" spans="1:25" x14ac:dyDescent="0.25">
      <c r="A191">
        <v>0</v>
      </c>
      <c r="B191">
        <v>1.05795E-4</v>
      </c>
      <c r="C191">
        <v>1.00466E-4</v>
      </c>
      <c r="D191">
        <v>1.05795E-4</v>
      </c>
      <c r="E191" s="1">
        <v>7.8100000000000001E-5</v>
      </c>
      <c r="F191">
        <v>-0.23158579500000001</v>
      </c>
      <c r="G191">
        <v>8.9204400000000004E-4</v>
      </c>
      <c r="H191">
        <v>300.14292219999999</v>
      </c>
      <c r="I191">
        <v>300.1553978</v>
      </c>
      <c r="J191">
        <v>299.85254859999998</v>
      </c>
      <c r="K191">
        <v>300.53202390000001</v>
      </c>
      <c r="L191">
        <v>300.17586219999998</v>
      </c>
      <c r="M191">
        <v>295.80156249999999</v>
      </c>
      <c r="N191">
        <v>0.82523437499999996</v>
      </c>
      <c r="O191" s="1">
        <v>-5.47E-8</v>
      </c>
      <c r="Q191">
        <v>299.14999999999998</v>
      </c>
      <c r="R191">
        <v>30</v>
      </c>
      <c r="S191">
        <f t="shared" si="13"/>
        <v>26.99292220000001</v>
      </c>
      <c r="T191">
        <f t="shared" si="14"/>
        <v>27.005397800000026</v>
      </c>
      <c r="U191">
        <f t="shared" si="15"/>
        <v>26.7025486</v>
      </c>
      <c r="V191">
        <f t="shared" si="16"/>
        <v>27.382023900000036</v>
      </c>
      <c r="W191">
        <f t="shared" si="17"/>
        <v>27.025862200000006</v>
      </c>
      <c r="Y191">
        <f t="shared" si="18"/>
        <v>47.25</v>
      </c>
    </row>
    <row r="192" spans="1:25" x14ac:dyDescent="0.25">
      <c r="A192">
        <v>0</v>
      </c>
      <c r="B192">
        <v>1.05612E-4</v>
      </c>
      <c r="C192">
        <v>1.0029199999999999E-4</v>
      </c>
      <c r="D192">
        <v>1.05612E-4</v>
      </c>
      <c r="E192" s="1">
        <v>7.7999999999999999E-5</v>
      </c>
      <c r="F192">
        <v>-0.232290571</v>
      </c>
      <c r="G192">
        <v>8.90499E-4</v>
      </c>
      <c r="H192">
        <v>300.1287284</v>
      </c>
      <c r="I192">
        <v>300.14223099999998</v>
      </c>
      <c r="J192">
        <v>299.84021489999998</v>
      </c>
      <c r="K192">
        <v>300.51194049999998</v>
      </c>
      <c r="L192">
        <v>300.16781809999998</v>
      </c>
      <c r="M192">
        <v>295.64999999999998</v>
      </c>
      <c r="N192">
        <v>0.83</v>
      </c>
      <c r="O192" s="1">
        <v>-5.4499999999999998E-8</v>
      </c>
      <c r="Q192">
        <v>299.14999999999998</v>
      </c>
      <c r="R192">
        <v>30</v>
      </c>
      <c r="S192">
        <f t="shared" si="13"/>
        <v>26.978728400000023</v>
      </c>
      <c r="T192">
        <f t="shared" si="14"/>
        <v>26.992231000000004</v>
      </c>
      <c r="U192">
        <f t="shared" si="15"/>
        <v>26.690214900000001</v>
      </c>
      <c r="V192">
        <f t="shared" si="16"/>
        <v>27.361940500000003</v>
      </c>
      <c r="W192">
        <f t="shared" si="17"/>
        <v>27.0178181</v>
      </c>
      <c r="Y192">
        <f t="shared" si="18"/>
        <v>47.5</v>
      </c>
    </row>
    <row r="193" spans="1:25" x14ac:dyDescent="0.25">
      <c r="A193">
        <v>0</v>
      </c>
      <c r="B193">
        <v>1.05676E-4</v>
      </c>
      <c r="C193">
        <v>1.0035300000000001E-4</v>
      </c>
      <c r="D193">
        <v>1.05676E-4</v>
      </c>
      <c r="E193" s="1">
        <v>7.8100000000000001E-5</v>
      </c>
      <c r="F193">
        <v>-0.23294755</v>
      </c>
      <c r="G193">
        <v>8.9103800000000003E-4</v>
      </c>
      <c r="H193">
        <v>300.11446230000001</v>
      </c>
      <c r="I193">
        <v>300.12867740000002</v>
      </c>
      <c r="J193">
        <v>299.82735159999999</v>
      </c>
      <c r="K193">
        <v>300.4917585</v>
      </c>
      <c r="L193">
        <v>300.15961670000002</v>
      </c>
      <c r="M193">
        <v>295.49843750000002</v>
      </c>
      <c r="N193">
        <v>0.83476562499999996</v>
      </c>
      <c r="O193" s="1">
        <v>-5.4599999999999999E-8</v>
      </c>
      <c r="Q193">
        <v>299.14999999999998</v>
      </c>
      <c r="R193">
        <v>30</v>
      </c>
      <c r="S193">
        <f t="shared" si="13"/>
        <v>26.964462300000037</v>
      </c>
      <c r="T193">
        <f t="shared" si="14"/>
        <v>26.978677400000038</v>
      </c>
      <c r="U193">
        <f t="shared" si="15"/>
        <v>26.677351600000009</v>
      </c>
      <c r="V193">
        <f t="shared" si="16"/>
        <v>27.341758500000026</v>
      </c>
      <c r="W193">
        <f t="shared" si="17"/>
        <v>27.009616700000038</v>
      </c>
      <c r="Y193">
        <f t="shared" si="18"/>
        <v>47.75</v>
      </c>
    </row>
    <row r="194" spans="1:25" x14ac:dyDescent="0.25">
      <c r="A194">
        <v>0</v>
      </c>
      <c r="B194">
        <v>1.0533499999999999E-4</v>
      </c>
      <c r="C194">
        <v>1.00029E-4</v>
      </c>
      <c r="D194">
        <v>1.0533499999999999E-4</v>
      </c>
      <c r="E194" s="1">
        <v>7.7799999999999994E-5</v>
      </c>
      <c r="F194">
        <v>-0.233646048</v>
      </c>
      <c r="G194">
        <v>8.8816399999999999E-4</v>
      </c>
      <c r="H194">
        <v>300.09957279999998</v>
      </c>
      <c r="I194">
        <v>300.11514820000002</v>
      </c>
      <c r="J194">
        <v>299.8142823</v>
      </c>
      <c r="K194">
        <v>300.4718628</v>
      </c>
      <c r="L194">
        <v>300.15121570000002</v>
      </c>
      <c r="M194">
        <v>295.35000000000002</v>
      </c>
      <c r="N194">
        <v>0.84</v>
      </c>
      <c r="O194" s="1">
        <v>-5.4200000000000002E-8</v>
      </c>
      <c r="Q194">
        <v>299.14999999999998</v>
      </c>
      <c r="R194">
        <v>30</v>
      </c>
      <c r="S194">
        <f t="shared" si="13"/>
        <v>26.949572799999999</v>
      </c>
      <c r="T194">
        <f t="shared" si="14"/>
        <v>26.965148200000044</v>
      </c>
      <c r="U194">
        <f t="shared" si="15"/>
        <v>26.664282300000025</v>
      </c>
      <c r="V194">
        <f t="shared" si="16"/>
        <v>27.321862800000019</v>
      </c>
      <c r="W194">
        <f t="shared" si="17"/>
        <v>27.001215700000046</v>
      </c>
      <c r="Y194">
        <f t="shared" si="18"/>
        <v>48</v>
      </c>
    </row>
    <row r="195" spans="1:25" x14ac:dyDescent="0.25">
      <c r="A195">
        <v>0</v>
      </c>
      <c r="B195">
        <v>1.05319E-4</v>
      </c>
      <c r="C195">
        <v>1.0001399999999999E-4</v>
      </c>
      <c r="D195">
        <v>1.05319E-4</v>
      </c>
      <c r="E195" s="1">
        <v>7.7799999999999994E-5</v>
      </c>
      <c r="F195">
        <v>-0.234560245</v>
      </c>
      <c r="G195">
        <v>8.8802900000000003E-4</v>
      </c>
      <c r="H195">
        <v>300.08426109999999</v>
      </c>
      <c r="I195">
        <v>300.10283720000001</v>
      </c>
      <c r="J195">
        <v>299.80257740000002</v>
      </c>
      <c r="K195">
        <v>300.45327070000002</v>
      </c>
      <c r="L195">
        <v>300.14309950000001</v>
      </c>
      <c r="M195">
        <v>295.20993299999998</v>
      </c>
      <c r="N195">
        <v>0.846796875</v>
      </c>
      <c r="O195" s="1">
        <v>-5.4200000000000002E-8</v>
      </c>
      <c r="Q195">
        <v>299.14999999999998</v>
      </c>
      <c r="R195">
        <v>30</v>
      </c>
      <c r="S195">
        <f t="shared" ref="S195:S258" si="19">H195-273.15</f>
        <v>26.934261100000015</v>
      </c>
      <c r="T195">
        <f t="shared" ref="T195:T258" si="20">I195-273.15</f>
        <v>26.952837200000033</v>
      </c>
      <c r="U195">
        <f t="shared" ref="U195:U258" si="21">J195-273.15</f>
        <v>26.652577400000041</v>
      </c>
      <c r="V195">
        <f t="shared" ref="V195:V258" si="22">K195-273.15</f>
        <v>27.303270700000041</v>
      </c>
      <c r="W195">
        <f t="shared" ref="W195:W258" si="23">L195-273.15</f>
        <v>26.993099500000028</v>
      </c>
      <c r="Y195">
        <f t="shared" si="18"/>
        <v>48.25</v>
      </c>
    </row>
    <row r="196" spans="1:25" x14ac:dyDescent="0.25">
      <c r="A196">
        <v>0</v>
      </c>
      <c r="B196">
        <v>1.04972E-4</v>
      </c>
      <c r="C196" s="1">
        <v>9.9699999999999998E-5</v>
      </c>
      <c r="D196">
        <v>1.04972E-4</v>
      </c>
      <c r="E196" s="1">
        <v>7.75E-5</v>
      </c>
      <c r="F196">
        <v>-0.23567105099999999</v>
      </c>
      <c r="G196">
        <v>8.8510499999999996E-4</v>
      </c>
      <c r="H196">
        <v>300.06952339999998</v>
      </c>
      <c r="I196">
        <v>300.09127769999998</v>
      </c>
      <c r="J196">
        <v>299.79153100000002</v>
      </c>
      <c r="K196">
        <v>300.43558580000001</v>
      </c>
      <c r="L196">
        <v>300.13524990000002</v>
      </c>
      <c r="M196">
        <v>295.08065479999999</v>
      </c>
      <c r="N196">
        <v>0.85499999999999998</v>
      </c>
      <c r="O196" s="1">
        <v>-5.3799999999999999E-8</v>
      </c>
      <c r="Q196">
        <v>299.14999999999998</v>
      </c>
      <c r="R196">
        <v>30</v>
      </c>
      <c r="S196">
        <f t="shared" si="19"/>
        <v>26.919523400000003</v>
      </c>
      <c r="T196">
        <f t="shared" si="20"/>
        <v>26.941277700000001</v>
      </c>
      <c r="U196">
        <f t="shared" si="21"/>
        <v>26.641531000000043</v>
      </c>
      <c r="V196">
        <f t="shared" si="22"/>
        <v>27.285585800000035</v>
      </c>
      <c r="W196">
        <f t="shared" si="23"/>
        <v>26.985249900000042</v>
      </c>
      <c r="Y196">
        <f t="shared" ref="Y196:Y259" si="24">Y195+0.25</f>
        <v>48.5</v>
      </c>
    </row>
    <row r="197" spans="1:25" x14ac:dyDescent="0.25">
      <c r="A197">
        <v>0</v>
      </c>
      <c r="B197">
        <v>1.04083E-4</v>
      </c>
      <c r="C197" s="1">
        <v>9.8800000000000003E-5</v>
      </c>
      <c r="D197">
        <v>1.04083E-4</v>
      </c>
      <c r="E197" s="1">
        <v>7.6899999999999999E-5</v>
      </c>
      <c r="F197">
        <v>-0.23678316399999999</v>
      </c>
      <c r="G197">
        <v>8.7760900000000001E-4</v>
      </c>
      <c r="H197">
        <v>300.05561399999999</v>
      </c>
      <c r="I197">
        <v>300.08011090000002</v>
      </c>
      <c r="J197">
        <v>299.78043839999998</v>
      </c>
      <c r="K197">
        <v>300.41864820000001</v>
      </c>
      <c r="L197">
        <v>300.12763330000001</v>
      </c>
      <c r="M197">
        <v>294.96104910000003</v>
      </c>
      <c r="N197">
        <v>0.86320312499999996</v>
      </c>
      <c r="O197" s="1">
        <v>-5.2899999999999997E-8</v>
      </c>
      <c r="Q197">
        <v>299.14999999999998</v>
      </c>
      <c r="R197">
        <v>30</v>
      </c>
      <c r="S197">
        <f t="shared" si="19"/>
        <v>26.905614000000014</v>
      </c>
      <c r="T197">
        <f t="shared" si="20"/>
        <v>26.930110900000045</v>
      </c>
      <c r="U197">
        <f t="shared" si="21"/>
        <v>26.630438400000003</v>
      </c>
      <c r="V197">
        <f t="shared" si="22"/>
        <v>27.26864820000003</v>
      </c>
      <c r="W197">
        <f t="shared" si="23"/>
        <v>26.977633300000036</v>
      </c>
      <c r="Y197">
        <f t="shared" si="24"/>
        <v>48.75</v>
      </c>
    </row>
    <row r="198" spans="1:25" x14ac:dyDescent="0.25">
      <c r="A198">
        <v>0</v>
      </c>
      <c r="B198">
        <v>1.0310399999999999E-4</v>
      </c>
      <c r="C198" s="1">
        <v>9.7899999999999994E-5</v>
      </c>
      <c r="D198">
        <v>1.0310399999999999E-4</v>
      </c>
      <c r="E198" s="1">
        <v>7.6199999999999995E-5</v>
      </c>
      <c r="F198">
        <v>-0.23770123000000001</v>
      </c>
      <c r="G198">
        <v>8.6934899999999995E-4</v>
      </c>
      <c r="H198">
        <v>300.04251119999998</v>
      </c>
      <c r="I198">
        <v>300.0693283</v>
      </c>
      <c r="J198">
        <v>299.76937240000001</v>
      </c>
      <c r="K198">
        <v>300.40235710000002</v>
      </c>
      <c r="L198">
        <v>300.12025</v>
      </c>
      <c r="M198">
        <v>294.85000000000002</v>
      </c>
      <c r="N198">
        <v>0.87</v>
      </c>
      <c r="O198" s="1">
        <v>-5.1900000000000002E-8</v>
      </c>
      <c r="Q198">
        <v>299.14999999999998</v>
      </c>
      <c r="R198">
        <v>30</v>
      </c>
      <c r="S198">
        <f t="shared" si="19"/>
        <v>26.892511200000001</v>
      </c>
      <c r="T198">
        <f t="shared" si="20"/>
        <v>26.919328300000018</v>
      </c>
      <c r="U198">
        <f t="shared" si="21"/>
        <v>26.619372400000032</v>
      </c>
      <c r="V198">
        <f t="shared" si="22"/>
        <v>27.25235710000004</v>
      </c>
      <c r="W198">
        <f t="shared" si="23"/>
        <v>26.970250000000021</v>
      </c>
      <c r="Y198">
        <f t="shared" si="24"/>
        <v>49</v>
      </c>
    </row>
    <row r="199" spans="1:25" x14ac:dyDescent="0.25">
      <c r="A199">
        <v>0</v>
      </c>
      <c r="B199">
        <v>1.01615E-4</v>
      </c>
      <c r="C199" s="1">
        <v>9.6500000000000001E-5</v>
      </c>
      <c r="D199">
        <v>1.01615E-4</v>
      </c>
      <c r="E199" s="1">
        <v>7.5099999999999996E-5</v>
      </c>
      <c r="F199">
        <v>-0.238234522</v>
      </c>
      <c r="G199">
        <v>8.5679699999999996E-4</v>
      </c>
      <c r="H199">
        <v>300.03192039999999</v>
      </c>
      <c r="I199">
        <v>300.0595629</v>
      </c>
      <c r="J199">
        <v>299.75897730000003</v>
      </c>
      <c r="K199">
        <v>300.3872801</v>
      </c>
      <c r="L199">
        <v>300.1123316</v>
      </c>
      <c r="M199">
        <v>294.79800419999998</v>
      </c>
      <c r="N199">
        <v>0.874007812</v>
      </c>
      <c r="O199" s="1">
        <v>-5.0500000000000002E-8</v>
      </c>
      <c r="Q199">
        <v>299.14999999999998</v>
      </c>
      <c r="R199">
        <v>30</v>
      </c>
      <c r="S199">
        <f t="shared" si="19"/>
        <v>26.881920400000013</v>
      </c>
      <c r="T199">
        <f t="shared" si="20"/>
        <v>26.909562900000026</v>
      </c>
      <c r="U199">
        <f t="shared" si="21"/>
        <v>26.608977300000049</v>
      </c>
      <c r="V199">
        <f t="shared" si="22"/>
        <v>27.237280100000021</v>
      </c>
      <c r="W199">
        <f t="shared" si="23"/>
        <v>26.962331600000027</v>
      </c>
      <c r="Y199">
        <f t="shared" si="24"/>
        <v>49.25</v>
      </c>
    </row>
    <row r="200" spans="1:25" x14ac:dyDescent="0.25">
      <c r="A200">
        <v>0</v>
      </c>
      <c r="B200" s="1">
        <v>9.9900000000000002E-5</v>
      </c>
      <c r="C200" s="1">
        <v>9.4900000000000003E-5</v>
      </c>
      <c r="D200" s="1">
        <v>9.9900000000000002E-5</v>
      </c>
      <c r="E200" s="1">
        <v>7.3800000000000005E-5</v>
      </c>
      <c r="F200">
        <v>-0.23835999899999999</v>
      </c>
      <c r="G200">
        <v>8.4220699999999998E-4</v>
      </c>
      <c r="H200">
        <v>300.026185</v>
      </c>
      <c r="I200">
        <v>300.051672</v>
      </c>
      <c r="J200">
        <v>299.75018069999999</v>
      </c>
      <c r="K200">
        <v>300.37311199999999</v>
      </c>
      <c r="L200">
        <v>300.10430500000001</v>
      </c>
      <c r="M200">
        <v>294.81848739999998</v>
      </c>
      <c r="N200">
        <v>0.87506249999999997</v>
      </c>
      <c r="O200" s="1">
        <v>-4.8699999999999999E-8</v>
      </c>
      <c r="Q200">
        <v>299.14999999999998</v>
      </c>
      <c r="R200">
        <v>30</v>
      </c>
      <c r="S200">
        <f t="shared" si="19"/>
        <v>26.876185000000021</v>
      </c>
      <c r="T200">
        <f t="shared" si="20"/>
        <v>26.901672000000019</v>
      </c>
      <c r="U200">
        <f t="shared" si="21"/>
        <v>26.60018070000001</v>
      </c>
      <c r="V200">
        <f t="shared" si="22"/>
        <v>27.223112000000015</v>
      </c>
      <c r="W200">
        <f t="shared" si="23"/>
        <v>26.954305000000033</v>
      </c>
      <c r="Y200">
        <f t="shared" si="24"/>
        <v>49.5</v>
      </c>
    </row>
    <row r="201" spans="1:25" x14ac:dyDescent="0.25">
      <c r="A201">
        <v>0</v>
      </c>
      <c r="B201" s="1">
        <v>9.8800000000000003E-5</v>
      </c>
      <c r="C201" s="1">
        <v>9.3800000000000003E-5</v>
      </c>
      <c r="D201" s="1">
        <v>9.8800000000000003E-5</v>
      </c>
      <c r="E201" s="1">
        <v>7.2999999999999999E-5</v>
      </c>
      <c r="F201">
        <v>-0.238117518</v>
      </c>
      <c r="G201">
        <v>8.3294399999999996E-4</v>
      </c>
      <c r="H201">
        <v>300.02333320000002</v>
      </c>
      <c r="I201">
        <v>300.04388640000002</v>
      </c>
      <c r="J201">
        <v>299.7423435</v>
      </c>
      <c r="K201">
        <v>300.34674230000002</v>
      </c>
      <c r="L201">
        <v>300.09366640000002</v>
      </c>
      <c r="M201">
        <v>294.8547269</v>
      </c>
      <c r="N201">
        <v>0.87358593799999995</v>
      </c>
      <c r="O201" s="1">
        <v>-4.7699999999999997E-8</v>
      </c>
      <c r="Q201">
        <v>299.14999999999998</v>
      </c>
      <c r="R201">
        <v>30</v>
      </c>
      <c r="S201">
        <f t="shared" si="19"/>
        <v>26.873333200000047</v>
      </c>
      <c r="T201">
        <f t="shared" si="20"/>
        <v>26.893886400000042</v>
      </c>
      <c r="U201">
        <f t="shared" si="21"/>
        <v>26.592343500000027</v>
      </c>
      <c r="V201">
        <f t="shared" si="22"/>
        <v>27.196742300000039</v>
      </c>
      <c r="W201">
        <f t="shared" si="23"/>
        <v>26.943666400000041</v>
      </c>
      <c r="Y201">
        <f t="shared" si="24"/>
        <v>49.75</v>
      </c>
    </row>
    <row r="202" spans="1:25" x14ac:dyDescent="0.25">
      <c r="A202">
        <v>0</v>
      </c>
      <c r="B202" s="1">
        <v>9.8599999999999998E-5</v>
      </c>
      <c r="C202" s="1">
        <v>9.3599999999999998E-5</v>
      </c>
      <c r="D202" s="1">
        <v>9.8599999999999998E-5</v>
      </c>
      <c r="E202" s="1">
        <v>7.2799999999999994E-5</v>
      </c>
      <c r="F202">
        <v>-0.23758668499999999</v>
      </c>
      <c r="G202">
        <v>8.31067E-4</v>
      </c>
      <c r="H202">
        <v>300.02017330000001</v>
      </c>
      <c r="I202">
        <v>300.03535190000002</v>
      </c>
      <c r="J202">
        <v>299.73436980000002</v>
      </c>
      <c r="K202">
        <v>300.3238394</v>
      </c>
      <c r="L202">
        <v>300.08485039999999</v>
      </c>
      <c r="M202">
        <v>294.85000000000002</v>
      </c>
      <c r="N202">
        <v>0.87</v>
      </c>
      <c r="O202" s="1">
        <v>-4.7500000000000002E-8</v>
      </c>
      <c r="Q202">
        <v>299.14999999999998</v>
      </c>
      <c r="R202">
        <v>30</v>
      </c>
      <c r="S202">
        <f t="shared" si="19"/>
        <v>26.870173300000033</v>
      </c>
      <c r="T202">
        <f t="shared" si="20"/>
        <v>26.885351900000046</v>
      </c>
      <c r="U202">
        <f t="shared" si="21"/>
        <v>26.584369800000047</v>
      </c>
      <c r="V202">
        <f t="shared" si="22"/>
        <v>27.17383940000002</v>
      </c>
      <c r="W202">
        <f t="shared" si="23"/>
        <v>26.934850400000016</v>
      </c>
      <c r="Y202">
        <f t="shared" si="24"/>
        <v>50</v>
      </c>
    </row>
    <row r="203" spans="1:25" x14ac:dyDescent="0.25">
      <c r="A203">
        <v>0</v>
      </c>
      <c r="B203" s="1">
        <v>9.8800000000000003E-5</v>
      </c>
      <c r="C203" s="1">
        <v>9.3800000000000003E-5</v>
      </c>
      <c r="D203" s="1">
        <v>9.8800000000000003E-5</v>
      </c>
      <c r="E203" s="1">
        <v>7.2899999999999997E-5</v>
      </c>
      <c r="F203">
        <v>-0.23677888499999999</v>
      </c>
      <c r="G203">
        <v>8.3271799999999998E-4</v>
      </c>
      <c r="H203">
        <v>300.01042460000002</v>
      </c>
      <c r="I203">
        <v>300.02573469999999</v>
      </c>
      <c r="J203">
        <v>299.72551320000002</v>
      </c>
      <c r="K203">
        <v>300.30261780000001</v>
      </c>
      <c r="L203">
        <v>300.07779950000003</v>
      </c>
      <c r="M203">
        <v>294.73143379999999</v>
      </c>
      <c r="N203">
        <v>0.86440384599999998</v>
      </c>
      <c r="O203" s="1">
        <v>-4.7699999999999997E-8</v>
      </c>
      <c r="Q203">
        <v>299.14999999999998</v>
      </c>
      <c r="R203">
        <v>30</v>
      </c>
      <c r="S203">
        <f t="shared" si="19"/>
        <v>26.860424600000044</v>
      </c>
      <c r="T203">
        <f t="shared" si="20"/>
        <v>26.87573470000001</v>
      </c>
      <c r="U203">
        <f t="shared" si="21"/>
        <v>26.575513200000046</v>
      </c>
      <c r="V203">
        <f t="shared" si="22"/>
        <v>27.15261780000003</v>
      </c>
      <c r="W203">
        <f t="shared" si="23"/>
        <v>26.927799500000049</v>
      </c>
      <c r="Y203">
        <f t="shared" si="24"/>
        <v>50.25</v>
      </c>
    </row>
    <row r="204" spans="1:25" x14ac:dyDescent="0.25">
      <c r="A204">
        <v>0</v>
      </c>
      <c r="B204" s="1">
        <v>9.8999999999999994E-5</v>
      </c>
      <c r="C204" s="1">
        <v>9.3999999999999994E-5</v>
      </c>
      <c r="D204" s="1">
        <v>9.8999999999999994E-5</v>
      </c>
      <c r="E204" s="1">
        <v>7.3100000000000001E-5</v>
      </c>
      <c r="F204">
        <v>-0.23572553500000001</v>
      </c>
      <c r="G204">
        <v>8.3492500000000003E-4</v>
      </c>
      <c r="H204">
        <v>299.98939159999998</v>
      </c>
      <c r="I204">
        <v>300.01345709999998</v>
      </c>
      <c r="J204">
        <v>299.71886169999999</v>
      </c>
      <c r="K204">
        <v>300.27791209999998</v>
      </c>
      <c r="L204">
        <v>300.06853810000001</v>
      </c>
      <c r="M204">
        <v>294.52794119999999</v>
      </c>
      <c r="N204">
        <v>0.85707692300000005</v>
      </c>
      <c r="O204" s="1">
        <v>-4.7899999999999999E-8</v>
      </c>
      <c r="Q204">
        <v>299.14999999999998</v>
      </c>
      <c r="R204">
        <v>30</v>
      </c>
      <c r="S204">
        <f t="shared" si="19"/>
        <v>26.839391599999999</v>
      </c>
      <c r="T204">
        <f t="shared" si="20"/>
        <v>26.863457100000005</v>
      </c>
      <c r="U204">
        <f t="shared" si="21"/>
        <v>26.568861700000014</v>
      </c>
      <c r="V204">
        <f t="shared" si="22"/>
        <v>27.127912100000003</v>
      </c>
      <c r="W204">
        <f t="shared" si="23"/>
        <v>26.918538100000035</v>
      </c>
      <c r="Y204">
        <f t="shared" si="24"/>
        <v>50.5</v>
      </c>
    </row>
    <row r="205" spans="1:25" x14ac:dyDescent="0.25">
      <c r="A205">
        <v>0</v>
      </c>
      <c r="B205" s="1">
        <v>9.9199999999999999E-5</v>
      </c>
      <c r="C205" s="1">
        <v>9.4199999999999999E-5</v>
      </c>
      <c r="D205" s="1">
        <v>9.9199999999999999E-5</v>
      </c>
      <c r="E205" s="1">
        <v>7.3300000000000006E-5</v>
      </c>
      <c r="F205">
        <v>-0.23452810800000001</v>
      </c>
      <c r="G205">
        <v>8.3666399999999998E-4</v>
      </c>
      <c r="H205">
        <v>299.96229369999998</v>
      </c>
      <c r="I205">
        <v>299.99951140000002</v>
      </c>
      <c r="J205">
        <v>299.7104162</v>
      </c>
      <c r="K205">
        <v>300.25348839999998</v>
      </c>
      <c r="L205">
        <v>300.05676970000002</v>
      </c>
      <c r="M205">
        <v>294.3354779</v>
      </c>
      <c r="N205">
        <v>0.84871153799999999</v>
      </c>
      <c r="O205" s="1">
        <v>-4.8100000000000001E-8</v>
      </c>
      <c r="Q205">
        <v>299.14999999999998</v>
      </c>
      <c r="R205">
        <v>30</v>
      </c>
      <c r="S205">
        <f t="shared" si="19"/>
        <v>26.812293699999998</v>
      </c>
      <c r="T205">
        <f t="shared" si="20"/>
        <v>26.84951140000004</v>
      </c>
      <c r="U205">
        <f t="shared" si="21"/>
        <v>26.56041620000002</v>
      </c>
      <c r="V205">
        <f t="shared" si="22"/>
        <v>27.103488400000003</v>
      </c>
      <c r="W205">
        <f t="shared" si="23"/>
        <v>26.906769700000041</v>
      </c>
      <c r="Y205">
        <f t="shared" si="24"/>
        <v>50.75</v>
      </c>
    </row>
    <row r="206" spans="1:25" x14ac:dyDescent="0.25">
      <c r="A206">
        <v>0</v>
      </c>
      <c r="B206" s="1">
        <v>9.9500000000000006E-5</v>
      </c>
      <c r="C206" s="1">
        <v>9.4500000000000007E-5</v>
      </c>
      <c r="D206" s="1">
        <v>9.9500000000000006E-5</v>
      </c>
      <c r="E206" s="1">
        <v>7.3499999999999998E-5</v>
      </c>
      <c r="F206">
        <v>-0.23329087000000001</v>
      </c>
      <c r="G206">
        <v>8.3923999999999999E-4</v>
      </c>
      <c r="H206">
        <v>299.93708889999999</v>
      </c>
      <c r="I206">
        <v>299.98582240000002</v>
      </c>
      <c r="J206">
        <v>299.70122730000003</v>
      </c>
      <c r="K206">
        <v>300.235049</v>
      </c>
      <c r="L206">
        <v>300.04372819999998</v>
      </c>
      <c r="M206">
        <v>294.25</v>
      </c>
      <c r="N206">
        <v>0.84</v>
      </c>
      <c r="O206" s="1">
        <v>-4.8400000000000003E-8</v>
      </c>
      <c r="Q206">
        <v>299.14999999999998</v>
      </c>
      <c r="R206">
        <v>30</v>
      </c>
      <c r="S206">
        <f t="shared" si="19"/>
        <v>26.787088900000015</v>
      </c>
      <c r="T206">
        <f t="shared" si="20"/>
        <v>26.83582240000004</v>
      </c>
      <c r="U206">
        <f t="shared" si="21"/>
        <v>26.55122730000005</v>
      </c>
      <c r="V206">
        <f t="shared" si="22"/>
        <v>27.085049000000026</v>
      </c>
      <c r="W206">
        <f t="shared" si="23"/>
        <v>26.893728199999998</v>
      </c>
      <c r="Y206">
        <f t="shared" si="24"/>
        <v>51</v>
      </c>
    </row>
    <row r="207" spans="1:25" x14ac:dyDescent="0.25">
      <c r="A207">
        <v>0</v>
      </c>
      <c r="B207">
        <v>1.00232E-4</v>
      </c>
      <c r="C207" s="1">
        <v>9.5199999999999997E-5</v>
      </c>
      <c r="D207">
        <v>1.00232E-4</v>
      </c>
      <c r="E207" s="1">
        <v>7.3999999999999996E-5</v>
      </c>
      <c r="F207">
        <v>-0.2316568</v>
      </c>
      <c r="G207">
        <v>8.4513500000000001E-4</v>
      </c>
      <c r="H207">
        <v>299.92087170000002</v>
      </c>
      <c r="I207">
        <v>299.97474110000002</v>
      </c>
      <c r="J207">
        <v>299.69318709999999</v>
      </c>
      <c r="K207">
        <v>300.2314513</v>
      </c>
      <c r="L207">
        <v>300.03245609999999</v>
      </c>
      <c r="M207">
        <v>294.3302989</v>
      </c>
      <c r="N207">
        <v>0.82862179499999999</v>
      </c>
      <c r="O207" s="1">
        <v>-4.9100000000000003E-8</v>
      </c>
      <c r="Q207">
        <v>299.14999999999998</v>
      </c>
      <c r="R207">
        <v>30</v>
      </c>
      <c r="S207">
        <f t="shared" si="19"/>
        <v>26.770871700000043</v>
      </c>
      <c r="T207">
        <f t="shared" si="20"/>
        <v>26.82474110000004</v>
      </c>
      <c r="U207">
        <f t="shared" si="21"/>
        <v>26.543187100000011</v>
      </c>
      <c r="V207">
        <f t="shared" si="22"/>
        <v>27.081451300000026</v>
      </c>
      <c r="W207">
        <f t="shared" si="23"/>
        <v>26.882456100000013</v>
      </c>
      <c r="Y207">
        <f t="shared" si="24"/>
        <v>51.25</v>
      </c>
    </row>
    <row r="208" spans="1:25" x14ac:dyDescent="0.25">
      <c r="A208">
        <v>0</v>
      </c>
      <c r="B208">
        <v>1.0146599999999999E-4</v>
      </c>
      <c r="C208" s="1">
        <v>9.6399999999999999E-5</v>
      </c>
      <c r="D208">
        <v>1.0146599999999999E-4</v>
      </c>
      <c r="E208" s="1">
        <v>7.4900000000000005E-5</v>
      </c>
      <c r="F208">
        <v>-0.22935028599999999</v>
      </c>
      <c r="G208">
        <v>8.5554100000000003E-4</v>
      </c>
      <c r="H208">
        <v>299.91541740000002</v>
      </c>
      <c r="I208">
        <v>299.96770279999998</v>
      </c>
      <c r="J208">
        <v>299.68821259999999</v>
      </c>
      <c r="K208">
        <v>300.2442484</v>
      </c>
      <c r="L208">
        <v>300.02620949999999</v>
      </c>
      <c r="M208">
        <v>294.5141304</v>
      </c>
      <c r="N208">
        <v>0.81414529899999999</v>
      </c>
      <c r="O208" s="1">
        <v>-5.03E-8</v>
      </c>
      <c r="Q208">
        <v>299.14999999999998</v>
      </c>
      <c r="R208">
        <v>30</v>
      </c>
      <c r="S208">
        <f t="shared" si="19"/>
        <v>26.765417400000047</v>
      </c>
      <c r="T208">
        <f t="shared" si="20"/>
        <v>26.817702800000006</v>
      </c>
      <c r="U208">
        <f t="shared" si="21"/>
        <v>26.538212600000008</v>
      </c>
      <c r="V208">
        <f t="shared" si="22"/>
        <v>27.094248400000026</v>
      </c>
      <c r="W208">
        <f t="shared" si="23"/>
        <v>26.876209500000016</v>
      </c>
      <c r="Y208">
        <f t="shared" si="24"/>
        <v>51.5</v>
      </c>
    </row>
    <row r="209" spans="1:25" x14ac:dyDescent="0.25">
      <c r="A209">
        <v>0</v>
      </c>
      <c r="B209">
        <v>1.02311E-4</v>
      </c>
      <c r="C209" s="1">
        <v>9.7200000000000004E-5</v>
      </c>
      <c r="D209">
        <v>1.02311E-4</v>
      </c>
      <c r="E209" s="1">
        <v>7.5599999999999994E-5</v>
      </c>
      <c r="F209">
        <v>-0.22707190699999999</v>
      </c>
      <c r="G209">
        <v>8.62666E-4</v>
      </c>
      <c r="H209">
        <v>299.91665019999999</v>
      </c>
      <c r="I209">
        <v>299.96291880000001</v>
      </c>
      <c r="J209">
        <v>299.68540330000002</v>
      </c>
      <c r="K209">
        <v>300.242254</v>
      </c>
      <c r="L209">
        <v>300.0183705</v>
      </c>
      <c r="M209">
        <v>294.71589669999997</v>
      </c>
      <c r="N209">
        <v>0.800096154</v>
      </c>
      <c r="O209" s="1">
        <v>-5.1100000000000001E-8</v>
      </c>
      <c r="Q209">
        <v>299.14999999999998</v>
      </c>
      <c r="R209">
        <v>30</v>
      </c>
      <c r="S209">
        <f t="shared" si="19"/>
        <v>26.766650200000015</v>
      </c>
      <c r="T209">
        <f t="shared" si="20"/>
        <v>26.812918800000034</v>
      </c>
      <c r="U209">
        <f t="shared" si="21"/>
        <v>26.535403300000041</v>
      </c>
      <c r="V209">
        <f t="shared" si="22"/>
        <v>27.092254000000025</v>
      </c>
      <c r="W209">
        <f t="shared" si="23"/>
        <v>26.868370500000026</v>
      </c>
      <c r="Y209">
        <f t="shared" si="24"/>
        <v>51.75</v>
      </c>
    </row>
    <row r="210" spans="1:25" x14ac:dyDescent="0.25">
      <c r="A210">
        <v>0</v>
      </c>
      <c r="B210">
        <v>1.0310399999999999E-4</v>
      </c>
      <c r="C210" s="1">
        <v>9.7899999999999994E-5</v>
      </c>
      <c r="D210">
        <v>1.0310399999999999E-4</v>
      </c>
      <c r="E210" s="1">
        <v>7.6199999999999995E-5</v>
      </c>
      <c r="F210">
        <v>-0.22542345799999999</v>
      </c>
      <c r="G210">
        <v>8.6934800000000004E-4</v>
      </c>
      <c r="H210">
        <v>299.91543769999998</v>
      </c>
      <c r="I210">
        <v>299.95756979999999</v>
      </c>
      <c r="J210">
        <v>299.68252749999999</v>
      </c>
      <c r="K210">
        <v>300.23307690000001</v>
      </c>
      <c r="L210">
        <v>300.01003120000001</v>
      </c>
      <c r="M210">
        <v>294.85000000000002</v>
      </c>
      <c r="N210">
        <v>0.79</v>
      </c>
      <c r="O210" s="1">
        <v>-5.1900000000000002E-8</v>
      </c>
      <c r="Q210">
        <v>299.14999999999998</v>
      </c>
      <c r="R210">
        <v>30</v>
      </c>
      <c r="S210">
        <f t="shared" si="19"/>
        <v>26.765437700000007</v>
      </c>
      <c r="T210">
        <f t="shared" si="20"/>
        <v>26.80756980000001</v>
      </c>
      <c r="U210">
        <f t="shared" si="21"/>
        <v>26.532527500000015</v>
      </c>
      <c r="V210">
        <f t="shared" si="22"/>
        <v>27.083076900000037</v>
      </c>
      <c r="W210">
        <f t="shared" si="23"/>
        <v>26.860031200000037</v>
      </c>
      <c r="Y210">
        <f t="shared" si="24"/>
        <v>52</v>
      </c>
    </row>
    <row r="211" spans="1:25" x14ac:dyDescent="0.25">
      <c r="A211">
        <v>0</v>
      </c>
      <c r="B211">
        <v>1.04343E-4</v>
      </c>
      <c r="C211" s="1">
        <v>9.9099999999999996E-5</v>
      </c>
      <c r="D211">
        <v>1.04343E-4</v>
      </c>
      <c r="E211" s="1">
        <v>7.7100000000000004E-5</v>
      </c>
      <c r="F211">
        <v>-0.22603864700000001</v>
      </c>
      <c r="G211">
        <v>8.7979799999999999E-4</v>
      </c>
      <c r="H211">
        <v>299.9056392</v>
      </c>
      <c r="I211">
        <v>299.95050079999999</v>
      </c>
      <c r="J211">
        <v>299.67841060000001</v>
      </c>
      <c r="K211">
        <v>300.22220750000002</v>
      </c>
      <c r="L211">
        <v>300.00181420000001</v>
      </c>
      <c r="M211">
        <v>294.87215470000001</v>
      </c>
      <c r="N211">
        <v>0.79390625000000004</v>
      </c>
      <c r="O211" s="1">
        <v>-5.32E-8</v>
      </c>
      <c r="Q211">
        <v>299.14999999999998</v>
      </c>
      <c r="R211">
        <v>30</v>
      </c>
      <c r="S211">
        <f t="shared" si="19"/>
        <v>26.755639200000019</v>
      </c>
      <c r="T211">
        <f t="shared" si="20"/>
        <v>26.800500800000009</v>
      </c>
      <c r="U211">
        <f t="shared" si="21"/>
        <v>26.528410600000029</v>
      </c>
      <c r="V211">
        <f t="shared" si="22"/>
        <v>27.072207500000047</v>
      </c>
      <c r="W211">
        <f t="shared" si="23"/>
        <v>26.851814200000035</v>
      </c>
      <c r="Y211">
        <f t="shared" si="24"/>
        <v>52.25</v>
      </c>
    </row>
    <row r="212" spans="1:25" x14ac:dyDescent="0.25">
      <c r="A212">
        <v>0</v>
      </c>
      <c r="B212">
        <v>1.05529E-4</v>
      </c>
      <c r="C212">
        <v>1.00213E-4</v>
      </c>
      <c r="D212">
        <v>1.05529E-4</v>
      </c>
      <c r="E212" s="1">
        <v>7.7899999999999996E-5</v>
      </c>
      <c r="F212">
        <v>-0.228871402</v>
      </c>
      <c r="G212">
        <v>8.8979900000000004E-4</v>
      </c>
      <c r="H212">
        <v>299.89142149999998</v>
      </c>
      <c r="I212">
        <v>299.94175310000003</v>
      </c>
      <c r="J212">
        <v>299.67265179999998</v>
      </c>
      <c r="K212">
        <v>300.20980900000001</v>
      </c>
      <c r="L212">
        <v>299.99325099999999</v>
      </c>
      <c r="M212">
        <v>294.83734020000003</v>
      </c>
      <c r="N212">
        <v>0.81152777799999998</v>
      </c>
      <c r="O212" s="1">
        <v>-5.4399999999999997E-8</v>
      </c>
      <c r="Q212">
        <v>299.14999999999998</v>
      </c>
      <c r="R212">
        <v>30</v>
      </c>
      <c r="S212">
        <f t="shared" si="19"/>
        <v>26.741421500000001</v>
      </c>
      <c r="T212">
        <f t="shared" si="20"/>
        <v>26.791753100000051</v>
      </c>
      <c r="U212">
        <f t="shared" si="21"/>
        <v>26.522651800000006</v>
      </c>
      <c r="V212">
        <f t="shared" si="22"/>
        <v>27.05980900000003</v>
      </c>
      <c r="W212">
        <f t="shared" si="23"/>
        <v>26.843251000000009</v>
      </c>
      <c r="Y212">
        <f t="shared" si="24"/>
        <v>52.5</v>
      </c>
    </row>
    <row r="213" spans="1:25" x14ac:dyDescent="0.25">
      <c r="A213">
        <v>0</v>
      </c>
      <c r="B213">
        <v>1.063E-4</v>
      </c>
      <c r="C213">
        <v>1.00945E-4</v>
      </c>
      <c r="D213">
        <v>1.063E-4</v>
      </c>
      <c r="E213" s="1">
        <v>7.8499999999999997E-5</v>
      </c>
      <c r="F213">
        <v>-0.231937534</v>
      </c>
      <c r="G213">
        <v>8.9629399999999995E-4</v>
      </c>
      <c r="H213">
        <v>299.8766238</v>
      </c>
      <c r="I213">
        <v>299.933896</v>
      </c>
      <c r="J213">
        <v>299.66725559999998</v>
      </c>
      <c r="K213">
        <v>300.1973428</v>
      </c>
      <c r="L213">
        <v>299.98456390000001</v>
      </c>
      <c r="M213">
        <v>294.80885549999999</v>
      </c>
      <c r="N213">
        <v>0.83088541699999996</v>
      </c>
      <c r="O213" s="1">
        <v>-5.5199999999999998E-8</v>
      </c>
      <c r="Q213">
        <v>299.14999999999998</v>
      </c>
      <c r="R213">
        <v>30</v>
      </c>
      <c r="S213">
        <f t="shared" si="19"/>
        <v>26.726623800000027</v>
      </c>
      <c r="T213">
        <f t="shared" si="20"/>
        <v>26.783896000000027</v>
      </c>
      <c r="U213">
        <f t="shared" si="21"/>
        <v>26.517255599999999</v>
      </c>
      <c r="V213">
        <f t="shared" si="22"/>
        <v>27.047342800000024</v>
      </c>
      <c r="W213">
        <f t="shared" si="23"/>
        <v>26.834563900000035</v>
      </c>
      <c r="Y213">
        <f t="shared" si="24"/>
        <v>52.75</v>
      </c>
    </row>
    <row r="214" spans="1:25" x14ac:dyDescent="0.25">
      <c r="A214">
        <v>0</v>
      </c>
      <c r="B214">
        <v>1.06223E-4</v>
      </c>
      <c r="C214">
        <v>1.0087200000000001E-4</v>
      </c>
      <c r="D214">
        <v>1.06223E-4</v>
      </c>
      <c r="E214" s="1">
        <v>7.8499999999999997E-5</v>
      </c>
      <c r="F214">
        <v>-0.23321183200000001</v>
      </c>
      <c r="G214">
        <v>8.9565000000000001E-4</v>
      </c>
      <c r="H214">
        <v>299.86716660000002</v>
      </c>
      <c r="I214">
        <v>299.93697179999998</v>
      </c>
      <c r="J214">
        <v>299.66836060000003</v>
      </c>
      <c r="K214">
        <v>300.1881813</v>
      </c>
      <c r="L214">
        <v>299.97919899999999</v>
      </c>
      <c r="M214">
        <v>294.85000000000002</v>
      </c>
      <c r="N214">
        <v>0.84</v>
      </c>
      <c r="O214" s="1">
        <v>-5.5099999999999997E-8</v>
      </c>
      <c r="Q214">
        <v>299.14999999999998</v>
      </c>
      <c r="R214">
        <v>30</v>
      </c>
      <c r="S214">
        <f t="shared" si="19"/>
        <v>26.717166600000041</v>
      </c>
      <c r="T214">
        <f t="shared" si="20"/>
        <v>26.786971800000003</v>
      </c>
      <c r="U214">
        <f t="shared" si="21"/>
        <v>26.518360600000051</v>
      </c>
      <c r="V214">
        <f t="shared" si="22"/>
        <v>27.038181300000019</v>
      </c>
      <c r="W214">
        <f t="shared" si="23"/>
        <v>26.829199000000017</v>
      </c>
      <c r="Y214">
        <f t="shared" si="24"/>
        <v>53</v>
      </c>
    </row>
    <row r="215" spans="1:25" x14ac:dyDescent="0.25">
      <c r="A215">
        <v>0</v>
      </c>
      <c r="B215">
        <v>1.04252E-4</v>
      </c>
      <c r="C215" s="1">
        <v>9.8999999999999994E-5</v>
      </c>
      <c r="D215">
        <v>1.04252E-4</v>
      </c>
      <c r="E215" s="1">
        <v>7.7000000000000001E-5</v>
      </c>
      <c r="F215">
        <v>-0.23307699200000001</v>
      </c>
      <c r="G215">
        <v>8.7903099999999995E-4</v>
      </c>
      <c r="H215">
        <v>299.86973669999998</v>
      </c>
      <c r="I215">
        <v>299.95800450000002</v>
      </c>
      <c r="J215">
        <v>299.68004919999998</v>
      </c>
      <c r="K215">
        <v>300.18592169999999</v>
      </c>
      <c r="L215">
        <v>299.98109390000002</v>
      </c>
      <c r="M215">
        <v>294.98945889999999</v>
      </c>
      <c r="N215">
        <v>0.83900568200000003</v>
      </c>
      <c r="O215" s="1">
        <v>-5.3099999999999999E-8</v>
      </c>
      <c r="Q215">
        <v>299.14999999999998</v>
      </c>
      <c r="R215">
        <v>30</v>
      </c>
      <c r="S215">
        <f t="shared" si="19"/>
        <v>26.719736699999999</v>
      </c>
      <c r="T215">
        <f t="shared" si="20"/>
        <v>26.808004500000038</v>
      </c>
      <c r="U215">
        <f t="shared" si="21"/>
        <v>26.530049200000008</v>
      </c>
      <c r="V215">
        <f t="shared" si="22"/>
        <v>27.035921700000017</v>
      </c>
      <c r="W215">
        <f t="shared" si="23"/>
        <v>26.831093900000042</v>
      </c>
      <c r="Y215">
        <f t="shared" si="24"/>
        <v>53.25</v>
      </c>
    </row>
    <row r="216" spans="1:25" x14ac:dyDescent="0.25">
      <c r="A216">
        <v>0</v>
      </c>
      <c r="B216">
        <v>1.0116299999999999E-4</v>
      </c>
      <c r="C216" s="1">
        <v>9.6100000000000005E-5</v>
      </c>
      <c r="D216">
        <v>1.0116299999999999E-4</v>
      </c>
      <c r="E216" s="1">
        <v>7.47E-5</v>
      </c>
      <c r="F216">
        <v>-0.232632107</v>
      </c>
      <c r="G216">
        <v>8.5298700000000004E-4</v>
      </c>
      <c r="H216">
        <v>299.88597650000003</v>
      </c>
      <c r="I216">
        <v>299.99627190000001</v>
      </c>
      <c r="J216">
        <v>299.70175080000001</v>
      </c>
      <c r="K216">
        <v>300.19044580000002</v>
      </c>
      <c r="L216">
        <v>299.99081919999998</v>
      </c>
      <c r="M216">
        <v>295.21649819999999</v>
      </c>
      <c r="N216">
        <v>0.83568181799999997</v>
      </c>
      <c r="O216" s="1">
        <v>-4.9999999999999998E-8</v>
      </c>
      <c r="Q216">
        <v>299.14999999999998</v>
      </c>
      <c r="R216">
        <v>30</v>
      </c>
      <c r="S216">
        <f t="shared" si="19"/>
        <v>26.735976500000049</v>
      </c>
      <c r="T216">
        <f t="shared" si="20"/>
        <v>26.846271900000033</v>
      </c>
      <c r="U216">
        <f t="shared" si="21"/>
        <v>26.551750800000036</v>
      </c>
      <c r="V216">
        <f t="shared" si="22"/>
        <v>27.040445800000043</v>
      </c>
      <c r="W216">
        <f t="shared" si="23"/>
        <v>26.840819199999999</v>
      </c>
      <c r="Y216">
        <f t="shared" si="24"/>
        <v>53.5</v>
      </c>
    </row>
    <row r="217" spans="1:25" x14ac:dyDescent="0.25">
      <c r="A217">
        <v>0</v>
      </c>
      <c r="B217" s="1">
        <v>9.9300000000000001E-5</v>
      </c>
      <c r="C217" s="1">
        <v>9.4300000000000002E-5</v>
      </c>
      <c r="D217" s="1">
        <v>9.9300000000000001E-5</v>
      </c>
      <c r="E217" s="1">
        <v>7.3300000000000006E-5</v>
      </c>
      <c r="F217">
        <v>-0.23174857300000001</v>
      </c>
      <c r="G217">
        <v>8.3724299999999999E-4</v>
      </c>
      <c r="H217">
        <v>299.91113009999998</v>
      </c>
      <c r="I217">
        <v>300.04690479999999</v>
      </c>
      <c r="J217">
        <v>299.72972929999997</v>
      </c>
      <c r="K217">
        <v>300.18463880000002</v>
      </c>
      <c r="L217">
        <v>300.00128269999999</v>
      </c>
      <c r="M217">
        <v>295.53528840000001</v>
      </c>
      <c r="N217">
        <v>0.82951704500000001</v>
      </c>
      <c r="O217" s="1">
        <v>-4.8200000000000001E-8</v>
      </c>
      <c r="Q217">
        <v>299.14999999999998</v>
      </c>
      <c r="R217">
        <v>30</v>
      </c>
      <c r="S217">
        <f t="shared" si="19"/>
        <v>26.761130100000003</v>
      </c>
      <c r="T217">
        <f t="shared" si="20"/>
        <v>26.896904800000016</v>
      </c>
      <c r="U217">
        <f t="shared" si="21"/>
        <v>26.579729299999997</v>
      </c>
      <c r="V217">
        <f t="shared" si="22"/>
        <v>27.034638800000039</v>
      </c>
      <c r="W217">
        <f t="shared" si="23"/>
        <v>26.851282700000013</v>
      </c>
      <c r="Y217">
        <f t="shared" si="24"/>
        <v>53.75</v>
      </c>
    </row>
    <row r="218" spans="1:25" x14ac:dyDescent="0.25">
      <c r="A218">
        <v>0</v>
      </c>
      <c r="B218" s="1">
        <v>9.8999999999999994E-5</v>
      </c>
      <c r="C218" s="1">
        <v>9.3999999999999994E-5</v>
      </c>
      <c r="D218" s="1">
        <v>9.8999999999999994E-5</v>
      </c>
      <c r="E218" s="1">
        <v>7.3100000000000001E-5</v>
      </c>
      <c r="F218">
        <v>-0.23025847599999999</v>
      </c>
      <c r="G218">
        <v>8.3454099999999995E-4</v>
      </c>
      <c r="H218">
        <v>299.93912949999998</v>
      </c>
      <c r="I218">
        <v>300.10298790000002</v>
      </c>
      <c r="J218">
        <v>299.7610153</v>
      </c>
      <c r="K218">
        <v>300.18880289999998</v>
      </c>
      <c r="L218">
        <v>300.0135626</v>
      </c>
      <c r="M218">
        <v>295.95</v>
      </c>
      <c r="N218">
        <v>0.82</v>
      </c>
      <c r="O218" s="1">
        <v>-4.7899999999999999E-8</v>
      </c>
      <c r="Q218">
        <v>299.14999999999998</v>
      </c>
      <c r="R218">
        <v>30</v>
      </c>
      <c r="S218">
        <f t="shared" si="19"/>
        <v>26.789129500000001</v>
      </c>
      <c r="T218">
        <f t="shared" si="20"/>
        <v>26.952987900000039</v>
      </c>
      <c r="U218">
        <f t="shared" si="21"/>
        <v>26.61101530000002</v>
      </c>
      <c r="V218">
        <f t="shared" si="22"/>
        <v>27.038802900000007</v>
      </c>
      <c r="W218">
        <f t="shared" si="23"/>
        <v>26.863562600000023</v>
      </c>
      <c r="Y218">
        <f t="shared" si="24"/>
        <v>54</v>
      </c>
    </row>
    <row r="219" spans="1:25" x14ac:dyDescent="0.25">
      <c r="A219">
        <v>0</v>
      </c>
      <c r="B219" s="1">
        <v>9.9300000000000001E-5</v>
      </c>
      <c r="C219" s="1">
        <v>9.4300000000000002E-5</v>
      </c>
      <c r="D219" s="1">
        <v>9.9300000000000001E-5</v>
      </c>
      <c r="E219" s="1">
        <v>7.3300000000000006E-5</v>
      </c>
      <c r="F219">
        <v>-0.22799350199999999</v>
      </c>
      <c r="G219">
        <v>8.3724299999999999E-4</v>
      </c>
      <c r="H219">
        <v>299.96587929999998</v>
      </c>
      <c r="I219">
        <v>300.16575440000003</v>
      </c>
      <c r="J219">
        <v>299.79944030000001</v>
      </c>
      <c r="K219">
        <v>300.20198720000002</v>
      </c>
      <c r="L219">
        <v>300.02621219999997</v>
      </c>
      <c r="M219">
        <v>296.47314449999999</v>
      </c>
      <c r="N219">
        <v>0.80579545500000005</v>
      </c>
      <c r="O219" s="1">
        <v>-4.8200000000000001E-8</v>
      </c>
      <c r="Q219">
        <v>299.14999999999998</v>
      </c>
      <c r="R219">
        <v>30</v>
      </c>
      <c r="S219">
        <f t="shared" si="19"/>
        <v>26.815879300000006</v>
      </c>
      <c r="T219">
        <f t="shared" si="20"/>
        <v>27.015754400000048</v>
      </c>
      <c r="U219">
        <f t="shared" si="21"/>
        <v>26.649440300000037</v>
      </c>
      <c r="V219">
        <f t="shared" si="22"/>
        <v>27.051987200000042</v>
      </c>
      <c r="W219">
        <f t="shared" si="23"/>
        <v>26.876212199999998</v>
      </c>
      <c r="Y219">
        <f t="shared" si="24"/>
        <v>54.25</v>
      </c>
    </row>
    <row r="220" spans="1:25" x14ac:dyDescent="0.25">
      <c r="A220">
        <v>0</v>
      </c>
      <c r="B220" s="1">
        <v>1E-4</v>
      </c>
      <c r="C220" s="1">
        <v>9.4900000000000003E-5</v>
      </c>
      <c r="D220" s="1">
        <v>1E-4</v>
      </c>
      <c r="E220" s="1">
        <v>7.3800000000000005E-5</v>
      </c>
      <c r="F220">
        <v>-0.225243152</v>
      </c>
      <c r="G220">
        <v>8.42897E-4</v>
      </c>
      <c r="H220">
        <v>299.9963358</v>
      </c>
      <c r="I220">
        <v>300.24860130000002</v>
      </c>
      <c r="J220">
        <v>299.84139249999998</v>
      </c>
      <c r="K220">
        <v>300.22415740000002</v>
      </c>
      <c r="L220">
        <v>300.0457864</v>
      </c>
      <c r="M220">
        <v>297.06432289999998</v>
      </c>
      <c r="N220">
        <v>0.78848484799999996</v>
      </c>
      <c r="O220" s="1">
        <v>-4.88E-8</v>
      </c>
      <c r="Q220">
        <v>299.14999999999998</v>
      </c>
      <c r="R220">
        <v>30</v>
      </c>
      <c r="S220">
        <f t="shared" si="19"/>
        <v>26.84633580000002</v>
      </c>
      <c r="T220">
        <f t="shared" si="20"/>
        <v>27.098601300000041</v>
      </c>
      <c r="U220">
        <f t="shared" si="21"/>
        <v>26.691392500000006</v>
      </c>
      <c r="V220">
        <f t="shared" si="22"/>
        <v>27.074157400000047</v>
      </c>
      <c r="W220">
        <f t="shared" si="23"/>
        <v>26.89578640000002</v>
      </c>
      <c r="Y220">
        <f t="shared" si="24"/>
        <v>54.5</v>
      </c>
    </row>
    <row r="221" spans="1:25" x14ac:dyDescent="0.25">
      <c r="A221">
        <v>0</v>
      </c>
      <c r="B221">
        <v>1.00807E-4</v>
      </c>
      <c r="C221" s="1">
        <v>9.5699999999999995E-5</v>
      </c>
      <c r="D221">
        <v>1.00807E-4</v>
      </c>
      <c r="E221" s="1">
        <v>7.4499999999999995E-5</v>
      </c>
      <c r="F221">
        <v>-0.2226291</v>
      </c>
      <c r="G221">
        <v>8.4998300000000001E-4</v>
      </c>
      <c r="H221">
        <v>300.03367109999999</v>
      </c>
      <c r="I221">
        <v>300.343751</v>
      </c>
      <c r="J221">
        <v>299.8847834</v>
      </c>
      <c r="K221">
        <v>300.25402630000002</v>
      </c>
      <c r="L221">
        <v>300.07299829999999</v>
      </c>
      <c r="M221">
        <v>297.64833979999997</v>
      </c>
      <c r="N221">
        <v>0.77193181799999999</v>
      </c>
      <c r="O221" s="1">
        <v>-4.9700000000000002E-8</v>
      </c>
      <c r="Q221">
        <v>299.14999999999998</v>
      </c>
      <c r="R221">
        <v>30</v>
      </c>
      <c r="S221">
        <f t="shared" si="19"/>
        <v>26.883671100000015</v>
      </c>
      <c r="T221">
        <f t="shared" si="20"/>
        <v>27.19375100000002</v>
      </c>
      <c r="U221">
        <f t="shared" si="21"/>
        <v>26.734783400000026</v>
      </c>
      <c r="V221">
        <f t="shared" si="22"/>
        <v>27.104026300000044</v>
      </c>
      <c r="W221">
        <f t="shared" si="23"/>
        <v>26.922998300000017</v>
      </c>
      <c r="Y221">
        <f t="shared" si="24"/>
        <v>54.75</v>
      </c>
    </row>
    <row r="222" spans="1:25" x14ac:dyDescent="0.25">
      <c r="A222">
        <v>0</v>
      </c>
      <c r="B222">
        <v>1.0153999999999999E-4</v>
      </c>
      <c r="C222" s="1">
        <v>9.6399999999999999E-5</v>
      </c>
      <c r="D222">
        <v>1.0153999999999999E-4</v>
      </c>
      <c r="E222" s="1">
        <v>7.4999999999999993E-5</v>
      </c>
      <c r="F222">
        <v>-0.22077249400000001</v>
      </c>
      <c r="G222">
        <v>8.5616499999999999E-4</v>
      </c>
      <c r="H222">
        <v>300.0762671</v>
      </c>
      <c r="I222">
        <v>300.44889610000001</v>
      </c>
      <c r="J222">
        <v>299.9288813</v>
      </c>
      <c r="K222">
        <v>300.28717990000001</v>
      </c>
      <c r="L222">
        <v>300.1079957</v>
      </c>
      <c r="M222">
        <v>298.14999999999998</v>
      </c>
      <c r="N222">
        <v>0.76</v>
      </c>
      <c r="O222" s="1">
        <v>-5.0400000000000001E-8</v>
      </c>
      <c r="Q222">
        <v>299.14999999999998</v>
      </c>
      <c r="R222">
        <v>26</v>
      </c>
      <c r="S222">
        <f t="shared" si="19"/>
        <v>26.926267100000018</v>
      </c>
      <c r="T222">
        <f t="shared" si="20"/>
        <v>27.298896100000036</v>
      </c>
      <c r="U222">
        <f t="shared" si="21"/>
        <v>26.778881300000023</v>
      </c>
      <c r="V222">
        <f t="shared" si="22"/>
        <v>27.137179900000035</v>
      </c>
      <c r="W222">
        <f t="shared" si="23"/>
        <v>26.957995700000026</v>
      </c>
      <c r="Y222">
        <f t="shared" si="24"/>
        <v>55</v>
      </c>
    </row>
    <row r="223" spans="1:25" x14ac:dyDescent="0.25">
      <c r="A223">
        <v>0</v>
      </c>
      <c r="B223">
        <v>0.13579929099999999</v>
      </c>
      <c r="C223">
        <v>0.128958292</v>
      </c>
      <c r="D223">
        <v>0.13579929099999999</v>
      </c>
      <c r="E223">
        <v>0.100300894</v>
      </c>
      <c r="F223">
        <v>-5.7282591000000001E-2</v>
      </c>
      <c r="G223">
        <v>1.1458901930000001</v>
      </c>
      <c r="H223">
        <v>299.50699959999997</v>
      </c>
      <c r="I223">
        <v>299.81918480000002</v>
      </c>
      <c r="J223">
        <v>299.28460860000001</v>
      </c>
      <c r="K223">
        <v>299.66240929999998</v>
      </c>
      <c r="L223">
        <v>299.79279539999999</v>
      </c>
      <c r="M223">
        <v>298.58320309999999</v>
      </c>
      <c r="N223">
        <v>0.75387499999999996</v>
      </c>
      <c r="O223">
        <v>7348.7314640000004</v>
      </c>
      <c r="Q223">
        <v>299.14999999999998</v>
      </c>
      <c r="R223">
        <v>26</v>
      </c>
      <c r="S223">
        <f t="shared" si="19"/>
        <v>26.356999599999995</v>
      </c>
      <c r="T223">
        <f t="shared" si="20"/>
        <v>26.669184800000039</v>
      </c>
      <c r="U223">
        <f t="shared" si="21"/>
        <v>26.134608600000035</v>
      </c>
      <c r="V223">
        <f t="shared" si="22"/>
        <v>26.512409300000002</v>
      </c>
      <c r="W223">
        <f t="shared" si="23"/>
        <v>26.642795400000011</v>
      </c>
      <c r="Y223">
        <f t="shared" si="24"/>
        <v>55.25</v>
      </c>
    </row>
    <row r="224" spans="1:25" x14ac:dyDescent="0.25">
      <c r="A224">
        <v>0</v>
      </c>
      <c r="B224">
        <v>0.33683647500000002</v>
      </c>
      <c r="C224">
        <v>0.31986806400000001</v>
      </c>
      <c r="D224">
        <v>0.33683647500000002</v>
      </c>
      <c r="E224">
        <v>0.248786272</v>
      </c>
      <c r="F224">
        <v>0.208229792</v>
      </c>
      <c r="G224">
        <v>2.8531557360000002</v>
      </c>
      <c r="H224">
        <v>298.57087510000002</v>
      </c>
      <c r="I224">
        <v>298.8113725</v>
      </c>
      <c r="J224">
        <v>298.34796779999999</v>
      </c>
      <c r="K224">
        <v>298.66040659999999</v>
      </c>
      <c r="L224">
        <v>299.160507</v>
      </c>
      <c r="M224">
        <v>299.01145830000002</v>
      </c>
      <c r="N224">
        <v>0.75033333300000005</v>
      </c>
      <c r="O224">
        <v>24810.870149999999</v>
      </c>
      <c r="Q224">
        <v>299.14999999999998</v>
      </c>
      <c r="R224">
        <v>26</v>
      </c>
      <c r="S224">
        <f t="shared" si="19"/>
        <v>25.420875100000046</v>
      </c>
      <c r="T224">
        <f t="shared" si="20"/>
        <v>25.661372500000027</v>
      </c>
      <c r="U224">
        <f t="shared" si="21"/>
        <v>25.197967800000015</v>
      </c>
      <c r="V224">
        <f t="shared" si="22"/>
        <v>25.51040660000001</v>
      </c>
      <c r="W224">
        <f t="shared" si="23"/>
        <v>26.010507000000018</v>
      </c>
      <c r="Y224">
        <f t="shared" si="24"/>
        <v>55.5</v>
      </c>
    </row>
    <row r="225" spans="1:25" x14ac:dyDescent="0.25">
      <c r="A225">
        <v>0</v>
      </c>
      <c r="B225">
        <v>0.33874858099999999</v>
      </c>
      <c r="C225">
        <v>0.39755932199999999</v>
      </c>
      <c r="D225">
        <v>0.26582594500000001</v>
      </c>
      <c r="E225">
        <v>0.31493858600000002</v>
      </c>
      <c r="F225">
        <v>0.110151051</v>
      </c>
      <c r="G225">
        <v>3.012988048</v>
      </c>
      <c r="H225">
        <v>298.14012009999999</v>
      </c>
      <c r="I225">
        <v>298.2263375</v>
      </c>
      <c r="J225">
        <v>298.09122939999997</v>
      </c>
      <c r="K225">
        <v>298.0277744</v>
      </c>
      <c r="L225">
        <v>298.5744115</v>
      </c>
      <c r="M225">
        <v>299.43398439999999</v>
      </c>
      <c r="N225">
        <v>0.74662499999999998</v>
      </c>
      <c r="O225">
        <v>27439.966990000001</v>
      </c>
      <c r="Q225">
        <v>299.14999999999998</v>
      </c>
      <c r="R225">
        <v>26</v>
      </c>
      <c r="S225">
        <f t="shared" si="19"/>
        <v>24.990120100000013</v>
      </c>
      <c r="T225">
        <f t="shared" si="20"/>
        <v>25.076337500000022</v>
      </c>
      <c r="U225">
        <f t="shared" si="21"/>
        <v>24.941229399999997</v>
      </c>
      <c r="V225">
        <f t="shared" si="22"/>
        <v>24.877774400000021</v>
      </c>
      <c r="W225">
        <f t="shared" si="23"/>
        <v>25.424411500000019</v>
      </c>
      <c r="Y225">
        <f t="shared" si="24"/>
        <v>55.75</v>
      </c>
    </row>
    <row r="226" spans="1:25" x14ac:dyDescent="0.25">
      <c r="A226">
        <v>0</v>
      </c>
      <c r="B226">
        <v>0.26914523600000001</v>
      </c>
      <c r="C226">
        <v>0.32971935099999999</v>
      </c>
      <c r="D226">
        <v>0.20282577500000001</v>
      </c>
      <c r="E226">
        <v>0.26469426899999998</v>
      </c>
      <c r="F226">
        <v>0.24655338099999999</v>
      </c>
      <c r="G226">
        <v>2.8651849660000002</v>
      </c>
      <c r="H226">
        <v>298.21919409999998</v>
      </c>
      <c r="I226">
        <v>298.35341010000002</v>
      </c>
      <c r="J226">
        <v>298.16660239999999</v>
      </c>
      <c r="K226">
        <v>298.07006819999998</v>
      </c>
      <c r="L226">
        <v>298.56430419999998</v>
      </c>
      <c r="M226">
        <v>299.85000000000002</v>
      </c>
      <c r="N226">
        <v>0.74</v>
      </c>
      <c r="O226">
        <v>23103.00764</v>
      </c>
      <c r="Q226">
        <v>299.14999999999998</v>
      </c>
      <c r="R226">
        <v>26</v>
      </c>
      <c r="S226">
        <f t="shared" si="19"/>
        <v>25.069194100000004</v>
      </c>
      <c r="T226">
        <f t="shared" si="20"/>
        <v>25.203410100000042</v>
      </c>
      <c r="U226">
        <f t="shared" si="21"/>
        <v>25.016602400000011</v>
      </c>
      <c r="V226">
        <f t="shared" si="22"/>
        <v>24.920068200000003</v>
      </c>
      <c r="W226">
        <f t="shared" si="23"/>
        <v>25.414304200000004</v>
      </c>
      <c r="Y226">
        <f t="shared" si="24"/>
        <v>56</v>
      </c>
    </row>
    <row r="227" spans="1:25" x14ac:dyDescent="0.25">
      <c r="A227">
        <v>0</v>
      </c>
      <c r="B227">
        <v>0.13802092199999999</v>
      </c>
      <c r="C227">
        <v>0.22198854000000001</v>
      </c>
      <c r="D227">
        <v>5.1613137000000003E-2</v>
      </c>
      <c r="E227">
        <v>0.15048187800000001</v>
      </c>
      <c r="F227">
        <v>-9.2884896999999994E-2</v>
      </c>
      <c r="G227">
        <v>1.4596237780000001</v>
      </c>
      <c r="H227">
        <v>299.04142730000001</v>
      </c>
      <c r="I227">
        <v>299.25653970000002</v>
      </c>
      <c r="J227">
        <v>299.05785850000001</v>
      </c>
      <c r="K227">
        <v>298.95392299999997</v>
      </c>
      <c r="L227">
        <v>299.14801949999998</v>
      </c>
      <c r="M227">
        <v>300.26875000000001</v>
      </c>
      <c r="N227">
        <v>0.73024999999999995</v>
      </c>
      <c r="O227">
        <v>13854.29646</v>
      </c>
      <c r="Q227">
        <v>299.14999999999998</v>
      </c>
      <c r="R227">
        <v>26</v>
      </c>
      <c r="S227">
        <f t="shared" si="19"/>
        <v>25.891427300000032</v>
      </c>
      <c r="T227">
        <f t="shared" si="20"/>
        <v>26.106539700000042</v>
      </c>
      <c r="U227">
        <f t="shared" si="21"/>
        <v>25.907858500000032</v>
      </c>
      <c r="V227">
        <f t="shared" si="22"/>
        <v>25.803922999999998</v>
      </c>
      <c r="W227">
        <f t="shared" si="23"/>
        <v>25.998019499999998</v>
      </c>
      <c r="Y227">
        <f t="shared" si="24"/>
        <v>56.25</v>
      </c>
    </row>
    <row r="228" spans="1:25" x14ac:dyDescent="0.25">
      <c r="A228">
        <v>0</v>
      </c>
      <c r="B228">
        <v>5.1334116999999999E-2</v>
      </c>
      <c r="C228">
        <v>5.1263171000000003E-2</v>
      </c>
      <c r="D228">
        <v>5.1334110000000002E-2</v>
      </c>
      <c r="E228">
        <v>4.0980801999999997E-2</v>
      </c>
      <c r="F228">
        <v>-0.119760513</v>
      </c>
      <c r="G228">
        <v>0.53181087900000001</v>
      </c>
      <c r="H228">
        <v>299.92220409999999</v>
      </c>
      <c r="I228">
        <v>300.44483220000001</v>
      </c>
      <c r="J228">
        <v>299.70957720000001</v>
      </c>
      <c r="K228">
        <v>299.98088369999999</v>
      </c>
      <c r="L228">
        <v>299.9968753</v>
      </c>
      <c r="M228">
        <v>300.6875</v>
      </c>
      <c r="N228">
        <v>0.71966666700000004</v>
      </c>
      <c r="O228">
        <v>9642.0357079999994</v>
      </c>
      <c r="Q228">
        <v>299.14999999999998</v>
      </c>
      <c r="R228">
        <v>26</v>
      </c>
      <c r="S228">
        <f t="shared" si="19"/>
        <v>26.77220410000001</v>
      </c>
      <c r="T228">
        <f t="shared" si="20"/>
        <v>27.29483220000003</v>
      </c>
      <c r="U228">
        <f t="shared" si="21"/>
        <v>26.559577200000035</v>
      </c>
      <c r="V228">
        <f t="shared" si="22"/>
        <v>26.830883700000015</v>
      </c>
      <c r="W228">
        <f t="shared" si="23"/>
        <v>26.846875300000022</v>
      </c>
      <c r="Y228">
        <f t="shared" si="24"/>
        <v>56.5</v>
      </c>
    </row>
    <row r="229" spans="1:25" x14ac:dyDescent="0.25">
      <c r="A229">
        <v>0</v>
      </c>
      <c r="B229">
        <v>5.0800197999999998E-2</v>
      </c>
      <c r="C229">
        <v>7.6463670999999997E-2</v>
      </c>
      <c r="D229">
        <v>5.0800197999999998E-2</v>
      </c>
      <c r="E229">
        <v>4.0586387000000002E-2</v>
      </c>
      <c r="F229">
        <v>-7.5879317000000002E-2</v>
      </c>
      <c r="G229">
        <v>0.66581227300000001</v>
      </c>
      <c r="H229">
        <v>300.3144787</v>
      </c>
      <c r="I229">
        <v>300.74669019999999</v>
      </c>
      <c r="J229">
        <v>300.12810430000002</v>
      </c>
      <c r="K229">
        <v>300.32332769999999</v>
      </c>
      <c r="L229">
        <v>300.2768921</v>
      </c>
      <c r="M229">
        <v>301.08749999999998</v>
      </c>
      <c r="N229">
        <v>0.70925000000000005</v>
      </c>
      <c r="O229">
        <v>7863.230971</v>
      </c>
      <c r="Q229">
        <v>299.14999999999998</v>
      </c>
      <c r="R229">
        <v>26</v>
      </c>
      <c r="S229">
        <f t="shared" si="19"/>
        <v>27.164478700000018</v>
      </c>
      <c r="T229">
        <f t="shared" si="20"/>
        <v>27.596690200000012</v>
      </c>
      <c r="U229">
        <f t="shared" si="21"/>
        <v>26.978104300000041</v>
      </c>
      <c r="V229">
        <f t="shared" si="22"/>
        <v>27.173327700000016</v>
      </c>
      <c r="W229">
        <f t="shared" si="23"/>
        <v>27.12689210000002</v>
      </c>
      <c r="Y229">
        <f t="shared" si="24"/>
        <v>56.75</v>
      </c>
    </row>
    <row r="230" spans="1:25" x14ac:dyDescent="0.25">
      <c r="A230">
        <v>0</v>
      </c>
      <c r="B230">
        <v>0.25040986700000001</v>
      </c>
      <c r="C230">
        <v>0.237795267</v>
      </c>
      <c r="D230">
        <v>0.20880009699999999</v>
      </c>
      <c r="E230">
        <v>0.18495187399999999</v>
      </c>
      <c r="F230">
        <v>9.1086871E-2</v>
      </c>
      <c r="G230">
        <v>2.0748141809999998</v>
      </c>
      <c r="H230">
        <v>299.86713980000002</v>
      </c>
      <c r="I230">
        <v>300.31248590000001</v>
      </c>
      <c r="J230">
        <v>299.66122869999998</v>
      </c>
      <c r="K230">
        <v>299.84922360000002</v>
      </c>
      <c r="L230">
        <v>300.06657940000002</v>
      </c>
      <c r="M230">
        <v>301.45</v>
      </c>
      <c r="N230">
        <v>0.7</v>
      </c>
      <c r="O230">
        <v>20234.917700000002</v>
      </c>
      <c r="Q230">
        <v>299.14999999999998</v>
      </c>
      <c r="R230">
        <v>26</v>
      </c>
      <c r="S230">
        <f t="shared" si="19"/>
        <v>26.717139800000041</v>
      </c>
      <c r="T230">
        <f t="shared" si="20"/>
        <v>27.162485900000036</v>
      </c>
      <c r="U230">
        <f t="shared" si="21"/>
        <v>26.511228700000004</v>
      </c>
      <c r="V230">
        <f t="shared" si="22"/>
        <v>26.699223600000039</v>
      </c>
      <c r="W230">
        <f t="shared" si="23"/>
        <v>26.916579400000046</v>
      </c>
      <c r="Y230">
        <f t="shared" si="24"/>
        <v>57</v>
      </c>
    </row>
    <row r="231" spans="1:25" x14ac:dyDescent="0.25">
      <c r="A231">
        <v>0</v>
      </c>
      <c r="B231">
        <v>0.435899694</v>
      </c>
      <c r="C231">
        <v>0.47470089399999998</v>
      </c>
      <c r="D231">
        <v>0.36605362600000002</v>
      </c>
      <c r="E231">
        <v>0.325142188</v>
      </c>
      <c r="F231">
        <v>-4.1058517000000003E-2</v>
      </c>
      <c r="G231">
        <v>3.163167912</v>
      </c>
      <c r="H231">
        <v>298.86117769999998</v>
      </c>
      <c r="I231">
        <v>299.07963710000001</v>
      </c>
      <c r="J231">
        <v>298.73034030000002</v>
      </c>
      <c r="K231">
        <v>298.77458439999998</v>
      </c>
      <c r="L231">
        <v>299.30003069999998</v>
      </c>
      <c r="M231">
        <v>301.75877759999997</v>
      </c>
      <c r="N231">
        <v>0.69218749999999996</v>
      </c>
      <c r="O231">
        <v>36359.214339999999</v>
      </c>
      <c r="Q231">
        <v>299.14999999999998</v>
      </c>
      <c r="R231">
        <v>26</v>
      </c>
      <c r="S231">
        <f t="shared" si="19"/>
        <v>25.711177700000007</v>
      </c>
      <c r="T231">
        <f t="shared" si="20"/>
        <v>25.929637100000036</v>
      </c>
      <c r="U231">
        <f t="shared" si="21"/>
        <v>25.580340300000046</v>
      </c>
      <c r="V231">
        <f t="shared" si="22"/>
        <v>25.624584400000003</v>
      </c>
      <c r="W231">
        <f t="shared" si="23"/>
        <v>26.150030700000002</v>
      </c>
      <c r="Y231">
        <f t="shared" si="24"/>
        <v>57.25</v>
      </c>
    </row>
    <row r="232" spans="1:25" x14ac:dyDescent="0.25">
      <c r="A232">
        <v>0</v>
      </c>
      <c r="B232">
        <v>0.434843751</v>
      </c>
      <c r="C232">
        <v>0.498682034</v>
      </c>
      <c r="D232">
        <v>0.35816445299999999</v>
      </c>
      <c r="E232">
        <v>0.324898042</v>
      </c>
      <c r="F232">
        <v>4.2509702000000003E-2</v>
      </c>
      <c r="G232">
        <v>3.3899955670000002</v>
      </c>
      <c r="H232">
        <v>298.56980729999998</v>
      </c>
      <c r="I232">
        <v>298.65733360000002</v>
      </c>
      <c r="J232">
        <v>298.44736699999999</v>
      </c>
      <c r="K232">
        <v>298.42396910000002</v>
      </c>
      <c r="L232">
        <v>298.9889349</v>
      </c>
      <c r="M232">
        <v>302.02757350000002</v>
      </c>
      <c r="N232">
        <v>0.68500000000000005</v>
      </c>
      <c r="O232">
        <v>38580.707840000003</v>
      </c>
      <c r="Q232">
        <v>299.14999999999998</v>
      </c>
      <c r="R232">
        <v>26</v>
      </c>
      <c r="S232">
        <f t="shared" si="19"/>
        <v>25.419807300000002</v>
      </c>
      <c r="T232">
        <f t="shared" si="20"/>
        <v>25.507333600000038</v>
      </c>
      <c r="U232">
        <f t="shared" si="21"/>
        <v>25.297367000000008</v>
      </c>
      <c r="V232">
        <f t="shared" si="22"/>
        <v>25.273969100000045</v>
      </c>
      <c r="W232">
        <f t="shared" si="23"/>
        <v>25.838934900000027</v>
      </c>
      <c r="Y232">
        <f t="shared" si="24"/>
        <v>57.5</v>
      </c>
    </row>
    <row r="233" spans="1:25" x14ac:dyDescent="0.25">
      <c r="A233">
        <v>0</v>
      </c>
      <c r="B233">
        <v>0.31435728600000001</v>
      </c>
      <c r="C233">
        <v>0.360466075</v>
      </c>
      <c r="D233">
        <v>0.232747114</v>
      </c>
      <c r="E233">
        <v>0.248156143</v>
      </c>
      <c r="F233">
        <v>0.13287969099999999</v>
      </c>
      <c r="G233">
        <v>2.7298445089999999</v>
      </c>
      <c r="H233">
        <v>298.77745820000001</v>
      </c>
      <c r="I233">
        <v>298.85447149999999</v>
      </c>
      <c r="J233">
        <v>298.6822626</v>
      </c>
      <c r="K233">
        <v>298.54616149999998</v>
      </c>
      <c r="L233">
        <v>298.99417260000001</v>
      </c>
      <c r="M233">
        <v>302.28258269999998</v>
      </c>
      <c r="N233">
        <v>0.67781250000000004</v>
      </c>
      <c r="O233">
        <v>32530.550029999999</v>
      </c>
      <c r="Q233">
        <v>299.14999999999998</v>
      </c>
      <c r="R233">
        <v>26</v>
      </c>
      <c r="S233">
        <f t="shared" si="19"/>
        <v>25.627458200000035</v>
      </c>
      <c r="T233">
        <f t="shared" si="20"/>
        <v>25.704471500000011</v>
      </c>
      <c r="U233">
        <f t="shared" si="21"/>
        <v>25.532262600000024</v>
      </c>
      <c r="V233">
        <f t="shared" si="22"/>
        <v>25.396161500000005</v>
      </c>
      <c r="W233">
        <f t="shared" si="23"/>
        <v>25.844172600000036</v>
      </c>
      <c r="Y233">
        <f t="shared" si="24"/>
        <v>57.75</v>
      </c>
    </row>
    <row r="234" spans="1:25" x14ac:dyDescent="0.25">
      <c r="A234">
        <v>0</v>
      </c>
      <c r="B234">
        <v>0.228555069</v>
      </c>
      <c r="C234">
        <v>0.25137874999999998</v>
      </c>
      <c r="D234">
        <v>0.145466188</v>
      </c>
      <c r="E234">
        <v>0.17492126499999999</v>
      </c>
      <c r="F234">
        <v>0.102781813</v>
      </c>
      <c r="G234">
        <v>2.0609438419999999</v>
      </c>
      <c r="H234">
        <v>299.18846689999998</v>
      </c>
      <c r="I234">
        <v>299.36515889999998</v>
      </c>
      <c r="J234">
        <v>299.10137570000001</v>
      </c>
      <c r="K234">
        <v>298.96024</v>
      </c>
      <c r="L234">
        <v>299.28071440000002</v>
      </c>
      <c r="M234">
        <v>302.55</v>
      </c>
      <c r="N234">
        <v>0.67</v>
      </c>
      <c r="O234">
        <v>22205.28716</v>
      </c>
      <c r="Q234">
        <v>299.14999999999998</v>
      </c>
      <c r="R234">
        <v>26</v>
      </c>
      <c r="S234">
        <f t="shared" si="19"/>
        <v>26.038466900000003</v>
      </c>
      <c r="T234">
        <f t="shared" si="20"/>
        <v>26.215158900000006</v>
      </c>
      <c r="U234">
        <f t="shared" si="21"/>
        <v>25.951375700000028</v>
      </c>
      <c r="V234">
        <f t="shared" si="22"/>
        <v>25.810240000000022</v>
      </c>
      <c r="W234">
        <f t="shared" si="23"/>
        <v>26.130714400000045</v>
      </c>
      <c r="Y234">
        <f t="shared" si="24"/>
        <v>58</v>
      </c>
    </row>
    <row r="235" spans="1:25" x14ac:dyDescent="0.25">
      <c r="A235">
        <v>0</v>
      </c>
      <c r="B235">
        <v>0.12518365400000001</v>
      </c>
      <c r="C235">
        <v>0.19826142899999999</v>
      </c>
      <c r="D235">
        <v>5.0734112999999997E-2</v>
      </c>
      <c r="E235">
        <v>7.2486208999999996E-2</v>
      </c>
      <c r="F235">
        <v>8.1428437000000006E-2</v>
      </c>
      <c r="G235">
        <v>1.4501894829999999</v>
      </c>
      <c r="H235">
        <v>299.91452099999998</v>
      </c>
      <c r="I235">
        <v>299.98192010000002</v>
      </c>
      <c r="J235">
        <v>299.80767500000002</v>
      </c>
      <c r="K235">
        <v>299.75934039999999</v>
      </c>
      <c r="L235">
        <v>299.78546180000001</v>
      </c>
      <c r="M235">
        <v>302.89632349999999</v>
      </c>
      <c r="N235">
        <v>0.66062500000000002</v>
      </c>
      <c r="O235">
        <v>13321.649509999999</v>
      </c>
      <c r="Q235">
        <v>299.14999999999998</v>
      </c>
      <c r="R235">
        <v>26</v>
      </c>
      <c r="S235">
        <f t="shared" si="19"/>
        <v>26.764521000000002</v>
      </c>
      <c r="T235">
        <f t="shared" si="20"/>
        <v>26.831920100000048</v>
      </c>
      <c r="U235">
        <f t="shared" si="21"/>
        <v>26.65767500000004</v>
      </c>
      <c r="V235">
        <f t="shared" si="22"/>
        <v>26.609340400000008</v>
      </c>
      <c r="W235">
        <f t="shared" si="23"/>
        <v>26.63546180000003</v>
      </c>
      <c r="Y235">
        <f t="shared" si="24"/>
        <v>58.25</v>
      </c>
    </row>
    <row r="236" spans="1:25" x14ac:dyDescent="0.25">
      <c r="A236">
        <v>0</v>
      </c>
      <c r="B236">
        <v>7.8912132999999995E-2</v>
      </c>
      <c r="C236">
        <v>0.15574809000000001</v>
      </c>
      <c r="D236">
        <v>5.0646330000000003E-2</v>
      </c>
      <c r="E236">
        <v>4.0472525000000002E-2</v>
      </c>
      <c r="F236">
        <v>7.2368415000000005E-2</v>
      </c>
      <c r="G236">
        <v>1.158265305</v>
      </c>
      <c r="H236">
        <v>300.46720690000001</v>
      </c>
      <c r="I236">
        <v>300.52812290000003</v>
      </c>
      <c r="J236">
        <v>300.21019209999997</v>
      </c>
      <c r="K236">
        <v>300.28550630000001</v>
      </c>
      <c r="L236">
        <v>300.21301940000001</v>
      </c>
      <c r="M236">
        <v>303.29117650000001</v>
      </c>
      <c r="N236">
        <v>0.65</v>
      </c>
      <c r="O236">
        <v>14702.594810000001</v>
      </c>
      <c r="Q236">
        <v>299.14999999999998</v>
      </c>
      <c r="R236">
        <v>26</v>
      </c>
      <c r="S236">
        <f t="shared" si="19"/>
        <v>27.317206900000031</v>
      </c>
      <c r="T236">
        <f t="shared" si="20"/>
        <v>27.378122900000051</v>
      </c>
      <c r="U236">
        <f t="shared" si="21"/>
        <v>27.060192099999995</v>
      </c>
      <c r="V236">
        <f t="shared" si="22"/>
        <v>27.135506300000031</v>
      </c>
      <c r="W236">
        <f t="shared" si="23"/>
        <v>27.06301940000003</v>
      </c>
      <c r="Y236">
        <f t="shared" si="24"/>
        <v>58.5</v>
      </c>
    </row>
    <row r="237" spans="1:25" x14ac:dyDescent="0.25">
      <c r="A237">
        <v>0</v>
      </c>
      <c r="B237">
        <v>0.267873888</v>
      </c>
      <c r="C237">
        <v>0.25437952400000002</v>
      </c>
      <c r="D237">
        <v>0.229751698</v>
      </c>
      <c r="E237">
        <v>0.186011705</v>
      </c>
      <c r="F237">
        <v>0.10856750799999999</v>
      </c>
      <c r="G237">
        <v>2.1506928780000001</v>
      </c>
      <c r="H237">
        <v>300.04336840000002</v>
      </c>
      <c r="I237">
        <v>300.21452629999999</v>
      </c>
      <c r="J237">
        <v>299.63651499999997</v>
      </c>
      <c r="K237">
        <v>299.7482167</v>
      </c>
      <c r="L237">
        <v>300.02824429999998</v>
      </c>
      <c r="M237">
        <v>303.61544120000002</v>
      </c>
      <c r="N237">
        <v>0.63937500000000003</v>
      </c>
      <c r="O237">
        <v>26774.853040000002</v>
      </c>
      <c r="Q237">
        <v>299.14999999999998</v>
      </c>
      <c r="R237">
        <v>26</v>
      </c>
      <c r="S237">
        <f t="shared" si="19"/>
        <v>26.893368400000043</v>
      </c>
      <c r="T237">
        <f t="shared" si="20"/>
        <v>27.064526300000011</v>
      </c>
      <c r="U237">
        <f t="shared" si="21"/>
        <v>26.486514999999997</v>
      </c>
      <c r="V237">
        <f t="shared" si="22"/>
        <v>26.598216700000023</v>
      </c>
      <c r="W237">
        <f t="shared" si="23"/>
        <v>26.878244300000006</v>
      </c>
      <c r="Y237">
        <f t="shared" si="24"/>
        <v>58.75</v>
      </c>
    </row>
    <row r="238" spans="1:25" x14ac:dyDescent="0.25">
      <c r="A238">
        <v>0</v>
      </c>
      <c r="B238">
        <v>0.47357191399999998</v>
      </c>
      <c r="C238">
        <v>0.42666331899999999</v>
      </c>
      <c r="D238">
        <v>0.37478930500000002</v>
      </c>
      <c r="E238">
        <v>0.31042364099999997</v>
      </c>
      <c r="F238">
        <v>4.6027446E-2</v>
      </c>
      <c r="G238">
        <v>3.233824093</v>
      </c>
      <c r="H238">
        <v>299.1024759</v>
      </c>
      <c r="I238">
        <v>299.17713709999998</v>
      </c>
      <c r="J238">
        <v>298.83534700000001</v>
      </c>
      <c r="K238">
        <v>298.84356009999999</v>
      </c>
      <c r="L238">
        <v>299.40111009999998</v>
      </c>
      <c r="M238">
        <v>303.75</v>
      </c>
      <c r="N238">
        <v>0.63</v>
      </c>
      <c r="O238">
        <v>37635.432079999999</v>
      </c>
      <c r="Q238">
        <v>299.14999999999998</v>
      </c>
      <c r="R238">
        <v>26</v>
      </c>
      <c r="S238">
        <f t="shared" si="19"/>
        <v>25.952475900000024</v>
      </c>
      <c r="T238">
        <f t="shared" si="20"/>
        <v>26.027137100000004</v>
      </c>
      <c r="U238">
        <f t="shared" si="21"/>
        <v>25.685347000000036</v>
      </c>
      <c r="V238">
        <f t="shared" si="22"/>
        <v>25.693560100000013</v>
      </c>
      <c r="W238">
        <f t="shared" si="23"/>
        <v>26.251110100000005</v>
      </c>
      <c r="Y238">
        <f t="shared" si="24"/>
        <v>59</v>
      </c>
    </row>
    <row r="239" spans="1:25" x14ac:dyDescent="0.25">
      <c r="A239">
        <v>0</v>
      </c>
      <c r="B239">
        <v>0.46705255099999998</v>
      </c>
      <c r="C239">
        <v>0.45018804099999998</v>
      </c>
      <c r="D239">
        <v>0.32838048800000003</v>
      </c>
      <c r="E239">
        <v>0.27752587000000001</v>
      </c>
      <c r="F239">
        <v>9.2047882999999997E-2</v>
      </c>
      <c r="G239">
        <v>3.290129168</v>
      </c>
      <c r="H239">
        <v>298.89545509999999</v>
      </c>
      <c r="I239">
        <v>298.81208650000002</v>
      </c>
      <c r="J239">
        <v>298.7207449</v>
      </c>
      <c r="K239">
        <v>298.68338740000002</v>
      </c>
      <c r="L239">
        <v>299.18077720000002</v>
      </c>
      <c r="M239">
        <v>303.75</v>
      </c>
      <c r="N239">
        <v>0.62265625000000002</v>
      </c>
      <c r="O239">
        <v>38545.801749999999</v>
      </c>
      <c r="Q239">
        <v>299.14999999999998</v>
      </c>
      <c r="R239">
        <v>26</v>
      </c>
      <c r="S239">
        <f t="shared" si="19"/>
        <v>25.745455100000015</v>
      </c>
      <c r="T239">
        <f t="shared" si="20"/>
        <v>25.662086500000044</v>
      </c>
      <c r="U239">
        <f t="shared" si="21"/>
        <v>25.570744900000022</v>
      </c>
      <c r="V239">
        <f t="shared" si="22"/>
        <v>25.533387400000038</v>
      </c>
      <c r="W239">
        <f t="shared" si="23"/>
        <v>26.030777200000045</v>
      </c>
      <c r="Y239">
        <f t="shared" si="24"/>
        <v>59.25</v>
      </c>
    </row>
    <row r="240" spans="1:25" x14ac:dyDescent="0.25">
      <c r="A240">
        <v>0</v>
      </c>
      <c r="B240">
        <v>0.37632875700000001</v>
      </c>
      <c r="C240">
        <v>0.35540466700000001</v>
      </c>
      <c r="D240">
        <v>0.26600049799999997</v>
      </c>
      <c r="E240">
        <v>0.23884329600000001</v>
      </c>
      <c r="F240">
        <v>0.149810373</v>
      </c>
      <c r="G240">
        <v>2.8491836890000002</v>
      </c>
      <c r="H240">
        <v>299.04626860000002</v>
      </c>
      <c r="I240">
        <v>298.94125029999998</v>
      </c>
      <c r="J240">
        <v>298.81964799999997</v>
      </c>
      <c r="K240">
        <v>298.73380179999998</v>
      </c>
      <c r="L240">
        <v>299.18372979999998</v>
      </c>
      <c r="M240">
        <v>303.75</v>
      </c>
      <c r="N240">
        <v>0.61708333299999996</v>
      </c>
      <c r="O240">
        <v>34789.37242</v>
      </c>
      <c r="Q240">
        <v>299.14999999999998</v>
      </c>
      <c r="R240">
        <v>26</v>
      </c>
      <c r="S240">
        <f t="shared" si="19"/>
        <v>25.896268600000042</v>
      </c>
      <c r="T240">
        <f t="shared" si="20"/>
        <v>25.791250300000002</v>
      </c>
      <c r="U240">
        <f t="shared" si="21"/>
        <v>25.669647999999995</v>
      </c>
      <c r="V240">
        <f t="shared" si="22"/>
        <v>25.583801800000003</v>
      </c>
      <c r="W240">
        <f t="shared" si="23"/>
        <v>26.033729800000003</v>
      </c>
      <c r="Y240">
        <f t="shared" si="24"/>
        <v>59.5</v>
      </c>
    </row>
    <row r="241" spans="1:25" x14ac:dyDescent="0.25">
      <c r="A241">
        <v>0</v>
      </c>
      <c r="B241">
        <v>0.36159412299999999</v>
      </c>
      <c r="C241">
        <v>0.32389286099999998</v>
      </c>
      <c r="D241">
        <v>0.23501511</v>
      </c>
      <c r="E241">
        <v>0.23300399199999999</v>
      </c>
      <c r="F241">
        <v>0.13983190200000001</v>
      </c>
      <c r="G241">
        <v>2.6992954810000001</v>
      </c>
      <c r="H241">
        <v>299.10367489999999</v>
      </c>
      <c r="I241">
        <v>298.98586169999999</v>
      </c>
      <c r="J241">
        <v>298.9076771</v>
      </c>
      <c r="K241">
        <v>298.74534219999998</v>
      </c>
      <c r="L241">
        <v>299.18269350000003</v>
      </c>
      <c r="M241">
        <v>303.75</v>
      </c>
      <c r="N241">
        <v>0.61296874999999995</v>
      </c>
      <c r="O241">
        <v>33005.937919999997</v>
      </c>
      <c r="Q241">
        <v>299.14999999999998</v>
      </c>
      <c r="R241">
        <v>26</v>
      </c>
      <c r="S241">
        <f t="shared" si="19"/>
        <v>25.95367490000001</v>
      </c>
      <c r="T241">
        <f t="shared" si="20"/>
        <v>25.835861700000009</v>
      </c>
      <c r="U241">
        <f t="shared" si="21"/>
        <v>25.757677100000024</v>
      </c>
      <c r="V241">
        <f t="shared" si="22"/>
        <v>25.595342200000005</v>
      </c>
      <c r="W241">
        <f t="shared" si="23"/>
        <v>26.03269350000005</v>
      </c>
      <c r="Y241">
        <f t="shared" si="24"/>
        <v>59.75</v>
      </c>
    </row>
    <row r="242" spans="1:25" x14ac:dyDescent="0.25">
      <c r="A242">
        <v>0</v>
      </c>
      <c r="B242">
        <v>0.30828798200000002</v>
      </c>
      <c r="C242">
        <v>0.28560047399999999</v>
      </c>
      <c r="D242">
        <v>0.182426434</v>
      </c>
      <c r="E242">
        <v>0.167355009</v>
      </c>
      <c r="F242">
        <v>0.63233406400000003</v>
      </c>
      <c r="G242">
        <v>3.237957604</v>
      </c>
      <c r="H242">
        <v>299.11761209999997</v>
      </c>
      <c r="I242">
        <v>298.8984092</v>
      </c>
      <c r="J242">
        <v>298.89546469999999</v>
      </c>
      <c r="K242">
        <v>298.76462600000002</v>
      </c>
      <c r="L242">
        <v>299.12472980000001</v>
      </c>
      <c r="M242">
        <v>303.75</v>
      </c>
      <c r="N242">
        <v>0.61</v>
      </c>
      <c r="O242">
        <v>30822.670999999998</v>
      </c>
      <c r="Q242">
        <v>299.14999999999998</v>
      </c>
      <c r="R242">
        <v>26</v>
      </c>
      <c r="S242">
        <f t="shared" si="19"/>
        <v>25.967612099999997</v>
      </c>
      <c r="T242">
        <f t="shared" si="20"/>
        <v>25.748409200000026</v>
      </c>
      <c r="U242">
        <f t="shared" si="21"/>
        <v>25.745464700000014</v>
      </c>
      <c r="V242">
        <f t="shared" si="22"/>
        <v>25.614626000000044</v>
      </c>
      <c r="W242">
        <f t="shared" si="23"/>
        <v>25.974729800000034</v>
      </c>
      <c r="Y242">
        <f t="shared" si="24"/>
        <v>60</v>
      </c>
    </row>
    <row r="243" spans="1:25" x14ac:dyDescent="0.25">
      <c r="A243">
        <v>0</v>
      </c>
      <c r="B243">
        <v>0.13891456699999999</v>
      </c>
      <c r="C243">
        <v>0.10442220300000001</v>
      </c>
      <c r="D243">
        <v>5.3895268000000003E-2</v>
      </c>
      <c r="E243">
        <v>4.2871922E-2</v>
      </c>
      <c r="F243">
        <v>0.255408947</v>
      </c>
      <c r="G243">
        <v>1.501788371</v>
      </c>
      <c r="H243">
        <v>300.10364040000002</v>
      </c>
      <c r="I243">
        <v>300.02945080000001</v>
      </c>
      <c r="J243">
        <v>299.80972509999998</v>
      </c>
      <c r="K243">
        <v>299.8150349</v>
      </c>
      <c r="L243">
        <v>299.87739770000002</v>
      </c>
      <c r="M243">
        <v>303.75</v>
      </c>
      <c r="N243">
        <v>0.60953124999999997</v>
      </c>
      <c r="O243">
        <v>12242.64054</v>
      </c>
      <c r="Q243">
        <v>299.14999999999998</v>
      </c>
      <c r="R243">
        <v>26</v>
      </c>
      <c r="S243">
        <f t="shared" si="19"/>
        <v>26.95364040000004</v>
      </c>
      <c r="T243">
        <f t="shared" si="20"/>
        <v>26.879450800000029</v>
      </c>
      <c r="U243">
        <f t="shared" si="21"/>
        <v>26.659725100000003</v>
      </c>
      <c r="V243">
        <f t="shared" si="22"/>
        <v>26.665034900000023</v>
      </c>
      <c r="W243">
        <f t="shared" si="23"/>
        <v>26.72739770000004</v>
      </c>
      <c r="Y243">
        <f t="shared" si="24"/>
        <v>60.25</v>
      </c>
    </row>
    <row r="244" spans="1:25" x14ac:dyDescent="0.25">
      <c r="A244">
        <v>0</v>
      </c>
      <c r="B244">
        <v>0.13311573199999999</v>
      </c>
      <c r="C244">
        <v>5.0874348999999999E-2</v>
      </c>
      <c r="D244">
        <v>5.0924927000000002E-2</v>
      </c>
      <c r="E244">
        <v>4.0678178000000002E-2</v>
      </c>
      <c r="F244">
        <v>0.21073075599999999</v>
      </c>
      <c r="G244">
        <v>1.3073738399999999</v>
      </c>
      <c r="H244">
        <v>300.45117679999998</v>
      </c>
      <c r="I244">
        <v>300.4967489</v>
      </c>
      <c r="J244">
        <v>300.12633740000001</v>
      </c>
      <c r="K244">
        <v>300.15452490000001</v>
      </c>
      <c r="L244">
        <v>300.19011740000002</v>
      </c>
      <c r="M244">
        <v>303.75</v>
      </c>
      <c r="N244">
        <v>0.61124999999999996</v>
      </c>
      <c r="O244">
        <v>10391.864100000001</v>
      </c>
      <c r="Q244">
        <v>299.14999999999998</v>
      </c>
      <c r="R244">
        <v>26</v>
      </c>
      <c r="S244">
        <f t="shared" si="19"/>
        <v>27.301176800000007</v>
      </c>
      <c r="T244">
        <f t="shared" si="20"/>
        <v>27.346748900000023</v>
      </c>
      <c r="U244">
        <f t="shared" si="21"/>
        <v>26.976337400000034</v>
      </c>
      <c r="V244">
        <f t="shared" si="22"/>
        <v>27.004524900000035</v>
      </c>
      <c r="W244">
        <f t="shared" si="23"/>
        <v>27.040117400000042</v>
      </c>
      <c r="Y244">
        <f t="shared" si="24"/>
        <v>60.5</v>
      </c>
    </row>
    <row r="245" spans="1:25" x14ac:dyDescent="0.25">
      <c r="A245">
        <v>0</v>
      </c>
      <c r="B245">
        <v>0.26611003300000002</v>
      </c>
      <c r="C245">
        <v>0.25270452399999999</v>
      </c>
      <c r="D245">
        <v>0.26611003300000002</v>
      </c>
      <c r="E245">
        <v>0.19654796299999999</v>
      </c>
      <c r="F245">
        <v>0.15016940400000001</v>
      </c>
      <c r="G245">
        <v>2.2501879059999998</v>
      </c>
      <c r="H245">
        <v>299.98289949999997</v>
      </c>
      <c r="I245">
        <v>299.66153070000001</v>
      </c>
      <c r="J245">
        <v>299.35937150000001</v>
      </c>
      <c r="K245">
        <v>299.44966520000003</v>
      </c>
      <c r="L245">
        <v>299.7935258</v>
      </c>
      <c r="M245">
        <v>303.75</v>
      </c>
      <c r="N245">
        <v>0.61234374999999996</v>
      </c>
      <c r="O245">
        <v>29297.58682</v>
      </c>
      <c r="Q245">
        <v>299.14999999999998</v>
      </c>
      <c r="R245">
        <v>26</v>
      </c>
      <c r="S245">
        <f t="shared" si="19"/>
        <v>26.832899499999996</v>
      </c>
      <c r="T245">
        <f t="shared" si="20"/>
        <v>26.511530700000037</v>
      </c>
      <c r="U245">
        <f t="shared" si="21"/>
        <v>26.209371500000032</v>
      </c>
      <c r="V245">
        <f t="shared" si="22"/>
        <v>26.299665200000049</v>
      </c>
      <c r="W245">
        <f t="shared" si="23"/>
        <v>26.64352580000002</v>
      </c>
      <c r="Y245">
        <f t="shared" si="24"/>
        <v>60.75</v>
      </c>
    </row>
    <row r="246" spans="1:25" x14ac:dyDescent="0.25">
      <c r="A246">
        <v>0</v>
      </c>
      <c r="B246">
        <v>0.51313466100000005</v>
      </c>
      <c r="C246">
        <v>0.42431137400000002</v>
      </c>
      <c r="D246">
        <v>0.38892114999999999</v>
      </c>
      <c r="E246">
        <v>0.30354727300000001</v>
      </c>
      <c r="F246">
        <v>0.175175214</v>
      </c>
      <c r="G246">
        <v>3.5608293199999999</v>
      </c>
      <c r="H246">
        <v>299.04975530000002</v>
      </c>
      <c r="I246">
        <v>298.70863229999998</v>
      </c>
      <c r="J246">
        <v>298.64307330000003</v>
      </c>
      <c r="K246">
        <v>298.67708190000002</v>
      </c>
      <c r="L246">
        <v>299.25514429999998</v>
      </c>
      <c r="M246">
        <v>303.75</v>
      </c>
      <c r="N246">
        <v>0.61</v>
      </c>
      <c r="O246">
        <v>40264.234859999997</v>
      </c>
      <c r="Q246">
        <v>299.14999999999998</v>
      </c>
      <c r="R246">
        <v>26</v>
      </c>
      <c r="S246">
        <f t="shared" si="19"/>
        <v>25.899755300000038</v>
      </c>
      <c r="T246">
        <f t="shared" si="20"/>
        <v>25.558632299999999</v>
      </c>
      <c r="U246">
        <f t="shared" si="21"/>
        <v>25.493073300000049</v>
      </c>
      <c r="V246">
        <f t="shared" si="22"/>
        <v>25.527081900000042</v>
      </c>
      <c r="W246">
        <f t="shared" si="23"/>
        <v>26.105144300000006</v>
      </c>
      <c r="Y246">
        <f t="shared" si="24"/>
        <v>61</v>
      </c>
    </row>
    <row r="247" spans="1:25" x14ac:dyDescent="0.25">
      <c r="A247">
        <v>0</v>
      </c>
      <c r="B247">
        <v>0.46907143099999998</v>
      </c>
      <c r="C247">
        <v>0.30869333399999999</v>
      </c>
      <c r="D247">
        <v>0.25057953999999999</v>
      </c>
      <c r="E247">
        <v>0.21122102800000001</v>
      </c>
      <c r="F247">
        <v>0.10426434800000001</v>
      </c>
      <c r="G247">
        <v>2.773393988</v>
      </c>
      <c r="H247">
        <v>299.16894300000001</v>
      </c>
      <c r="I247">
        <v>299.05177639999999</v>
      </c>
      <c r="J247">
        <v>299.05031109999999</v>
      </c>
      <c r="K247">
        <v>299.06226029999999</v>
      </c>
      <c r="L247">
        <v>299.41310709999999</v>
      </c>
      <c r="M247">
        <v>303.921875</v>
      </c>
      <c r="N247">
        <v>0.60499999999999998</v>
      </c>
      <c r="O247">
        <v>34002.932220000002</v>
      </c>
      <c r="Q247">
        <v>299.14999999999998</v>
      </c>
      <c r="R247">
        <v>26</v>
      </c>
      <c r="S247">
        <f t="shared" si="19"/>
        <v>26.018943000000036</v>
      </c>
      <c r="T247">
        <f t="shared" si="20"/>
        <v>25.901776400000017</v>
      </c>
      <c r="U247">
        <f t="shared" si="21"/>
        <v>25.90031110000001</v>
      </c>
      <c r="V247">
        <f t="shared" si="22"/>
        <v>25.912260300000014</v>
      </c>
      <c r="W247">
        <f t="shared" si="23"/>
        <v>26.263107100000013</v>
      </c>
      <c r="Y247">
        <f t="shared" si="24"/>
        <v>61.25</v>
      </c>
    </row>
    <row r="248" spans="1:25" x14ac:dyDescent="0.25">
      <c r="A248">
        <v>0</v>
      </c>
      <c r="B248">
        <v>0.38094424300000002</v>
      </c>
      <c r="C248">
        <v>0.2420368</v>
      </c>
      <c r="D248">
        <v>0.181702798</v>
      </c>
      <c r="E248">
        <v>0.18738716399999999</v>
      </c>
      <c r="F248">
        <v>0.16673700499999999</v>
      </c>
      <c r="G248">
        <v>2.446069311</v>
      </c>
      <c r="H248">
        <v>299.4046219</v>
      </c>
      <c r="I248">
        <v>299.27035239999998</v>
      </c>
      <c r="J248">
        <v>299.28680919999999</v>
      </c>
      <c r="K248">
        <v>299.22248259999998</v>
      </c>
      <c r="L248">
        <v>299.46259700000002</v>
      </c>
      <c r="M248">
        <v>304.3</v>
      </c>
      <c r="N248">
        <v>0.6</v>
      </c>
      <c r="O248">
        <v>31332.40033</v>
      </c>
      <c r="Q248">
        <v>299.14999999999998</v>
      </c>
      <c r="R248">
        <v>26</v>
      </c>
      <c r="S248">
        <f t="shared" si="19"/>
        <v>26.254621900000018</v>
      </c>
      <c r="T248">
        <f t="shared" si="20"/>
        <v>26.120352400000002</v>
      </c>
      <c r="U248">
        <f t="shared" si="21"/>
        <v>26.136809200000016</v>
      </c>
      <c r="V248">
        <f t="shared" si="22"/>
        <v>26.072482600000001</v>
      </c>
      <c r="W248">
        <f t="shared" si="23"/>
        <v>26.312597000000039</v>
      </c>
      <c r="Y248">
        <f t="shared" si="24"/>
        <v>61.5</v>
      </c>
    </row>
    <row r="249" spans="1:25" x14ac:dyDescent="0.25">
      <c r="A249">
        <v>0</v>
      </c>
      <c r="B249">
        <v>0.39968893999999999</v>
      </c>
      <c r="C249">
        <v>0.28716057299999997</v>
      </c>
      <c r="D249">
        <v>0.23883417000000001</v>
      </c>
      <c r="E249">
        <v>0.21701331600000001</v>
      </c>
      <c r="F249">
        <v>0.16912459199999999</v>
      </c>
      <c r="G249">
        <v>2.6998842330000001</v>
      </c>
      <c r="H249">
        <v>299.37610669999998</v>
      </c>
      <c r="I249">
        <v>299.11374260000002</v>
      </c>
      <c r="J249">
        <v>299.13496520000001</v>
      </c>
      <c r="K249">
        <v>299.16457689999999</v>
      </c>
      <c r="L249">
        <v>299.41949540000002</v>
      </c>
      <c r="M249">
        <v>304.67812500000002</v>
      </c>
      <c r="N249">
        <v>0.59499999999999997</v>
      </c>
      <c r="O249">
        <v>30837.466270000001</v>
      </c>
      <c r="Q249">
        <v>299.14999999999998</v>
      </c>
      <c r="R249">
        <v>26</v>
      </c>
      <c r="S249">
        <f t="shared" si="19"/>
        <v>26.226106700000003</v>
      </c>
      <c r="T249">
        <f t="shared" si="20"/>
        <v>25.963742600000046</v>
      </c>
      <c r="U249">
        <f t="shared" si="21"/>
        <v>25.984965200000033</v>
      </c>
      <c r="V249">
        <f t="shared" si="22"/>
        <v>26.014576900000009</v>
      </c>
      <c r="W249">
        <f t="shared" si="23"/>
        <v>26.269495400000039</v>
      </c>
      <c r="Y249">
        <f t="shared" si="24"/>
        <v>61.75</v>
      </c>
    </row>
    <row r="250" spans="1:25" x14ac:dyDescent="0.25">
      <c r="A250">
        <v>0</v>
      </c>
      <c r="B250">
        <v>0.32953582799999998</v>
      </c>
      <c r="C250">
        <v>0.16702687199999999</v>
      </c>
      <c r="D250">
        <v>0.13694878899999999</v>
      </c>
      <c r="E250">
        <v>0.134384694</v>
      </c>
      <c r="F250">
        <v>0.20154728099999999</v>
      </c>
      <c r="G250">
        <v>2.0438948809999999</v>
      </c>
      <c r="H250">
        <v>299.75763970000003</v>
      </c>
      <c r="I250">
        <v>299.7203738</v>
      </c>
      <c r="J250">
        <v>299.64696750000002</v>
      </c>
      <c r="K250">
        <v>299.7290764</v>
      </c>
      <c r="L250">
        <v>299.77274840000001</v>
      </c>
      <c r="M250">
        <v>304.85000000000002</v>
      </c>
      <c r="N250">
        <v>0.59</v>
      </c>
      <c r="O250">
        <v>22344.85324</v>
      </c>
      <c r="Q250">
        <v>299.14999999999998</v>
      </c>
      <c r="R250">
        <v>26</v>
      </c>
      <c r="S250">
        <f t="shared" si="19"/>
        <v>26.60763970000005</v>
      </c>
      <c r="T250">
        <f t="shared" si="20"/>
        <v>26.570373800000027</v>
      </c>
      <c r="U250">
        <f t="shared" si="21"/>
        <v>26.496967500000039</v>
      </c>
      <c r="V250">
        <f t="shared" si="22"/>
        <v>26.579076400000019</v>
      </c>
      <c r="W250">
        <f t="shared" si="23"/>
        <v>26.622748400000035</v>
      </c>
      <c r="Y250">
        <f t="shared" si="24"/>
        <v>62</v>
      </c>
    </row>
    <row r="251" spans="1:25" x14ac:dyDescent="0.25">
      <c r="A251">
        <v>0</v>
      </c>
      <c r="B251">
        <v>0.21686234400000001</v>
      </c>
      <c r="C251">
        <v>5.0537349000000002E-2</v>
      </c>
      <c r="D251">
        <v>5.0570199000000003E-2</v>
      </c>
      <c r="E251">
        <v>6.8527896000000005E-2</v>
      </c>
      <c r="F251">
        <v>0.19902974600000001</v>
      </c>
      <c r="G251">
        <v>1.4579386750000001</v>
      </c>
      <c r="H251">
        <v>300.41852649999998</v>
      </c>
      <c r="I251">
        <v>300.5076014</v>
      </c>
      <c r="J251">
        <v>300.29620720000003</v>
      </c>
      <c r="K251">
        <v>300.4109737</v>
      </c>
      <c r="L251">
        <v>300.25169149999999</v>
      </c>
      <c r="M251">
        <v>304.85000000000002</v>
      </c>
      <c r="N251">
        <v>0.58499999999999996</v>
      </c>
      <c r="O251">
        <v>14252.793019999999</v>
      </c>
      <c r="Q251">
        <v>299.14999999999998</v>
      </c>
      <c r="R251">
        <v>26</v>
      </c>
      <c r="S251">
        <f t="shared" si="19"/>
        <v>27.268526500000007</v>
      </c>
      <c r="T251">
        <f t="shared" si="20"/>
        <v>27.357601400000021</v>
      </c>
      <c r="U251">
        <f t="shared" si="21"/>
        <v>27.146207200000049</v>
      </c>
      <c r="V251">
        <f t="shared" si="22"/>
        <v>27.260973700000022</v>
      </c>
      <c r="W251">
        <f t="shared" si="23"/>
        <v>27.101691500000015</v>
      </c>
      <c r="Y251">
        <f t="shared" si="24"/>
        <v>62.25</v>
      </c>
    </row>
    <row r="252" spans="1:25" x14ac:dyDescent="0.25">
      <c r="A252">
        <v>0</v>
      </c>
      <c r="B252">
        <v>0.296001652</v>
      </c>
      <c r="C252">
        <v>0.26330747599999998</v>
      </c>
      <c r="D252">
        <v>0.272559946</v>
      </c>
      <c r="E252">
        <v>0.218625811</v>
      </c>
      <c r="F252">
        <v>0.19498890499999999</v>
      </c>
      <c r="G252">
        <v>2.4629906990000001</v>
      </c>
      <c r="H252">
        <v>300.11092719999999</v>
      </c>
      <c r="I252">
        <v>299.63185290000001</v>
      </c>
      <c r="J252">
        <v>299.50930799999998</v>
      </c>
      <c r="K252">
        <v>299.81236009999998</v>
      </c>
      <c r="L252">
        <v>299.88170919999999</v>
      </c>
      <c r="M252">
        <v>304.85000000000002</v>
      </c>
      <c r="N252">
        <v>0.57999999999999996</v>
      </c>
      <c r="O252">
        <v>31451.7598</v>
      </c>
      <c r="Q252">
        <v>299.14999999999998</v>
      </c>
      <c r="R252">
        <v>26</v>
      </c>
      <c r="S252">
        <f t="shared" si="19"/>
        <v>26.960927200000015</v>
      </c>
      <c r="T252">
        <f t="shared" si="20"/>
        <v>26.481852900000035</v>
      </c>
      <c r="U252">
        <f t="shared" si="21"/>
        <v>26.359307999999999</v>
      </c>
      <c r="V252">
        <f t="shared" si="22"/>
        <v>26.662360100000001</v>
      </c>
      <c r="W252">
        <f t="shared" si="23"/>
        <v>26.731709200000012</v>
      </c>
      <c r="Y252">
        <f t="shared" si="24"/>
        <v>62.5</v>
      </c>
    </row>
    <row r="253" spans="1:25" x14ac:dyDescent="0.25">
      <c r="A253">
        <v>0</v>
      </c>
      <c r="B253">
        <v>0.55614845999999996</v>
      </c>
      <c r="C253">
        <v>0.46163107399999997</v>
      </c>
      <c r="D253">
        <v>0.47223278400000002</v>
      </c>
      <c r="E253">
        <v>0.39360439400000002</v>
      </c>
      <c r="F253">
        <v>0.117236575</v>
      </c>
      <c r="G253">
        <v>3.8720632049999999</v>
      </c>
      <c r="H253">
        <v>299.22439600000001</v>
      </c>
      <c r="I253">
        <v>298.74273640000001</v>
      </c>
      <c r="J253">
        <v>298.74019060000001</v>
      </c>
      <c r="K253">
        <v>298.98022040000001</v>
      </c>
      <c r="L253">
        <v>299.37588579999999</v>
      </c>
      <c r="M253">
        <v>304.85000000000002</v>
      </c>
      <c r="N253">
        <v>0.57499999999999996</v>
      </c>
      <c r="O253">
        <v>41923.741560000002</v>
      </c>
      <c r="Q253">
        <v>299.14999999999998</v>
      </c>
      <c r="R253">
        <v>26</v>
      </c>
      <c r="S253">
        <f t="shared" si="19"/>
        <v>26.074396000000036</v>
      </c>
      <c r="T253">
        <f t="shared" si="20"/>
        <v>25.592736400000035</v>
      </c>
      <c r="U253">
        <f t="shared" si="21"/>
        <v>25.590190600000028</v>
      </c>
      <c r="V253">
        <f t="shared" si="22"/>
        <v>25.83022040000003</v>
      </c>
      <c r="W253">
        <f t="shared" si="23"/>
        <v>26.225885800000015</v>
      </c>
      <c r="Y253">
        <f t="shared" si="24"/>
        <v>62.75</v>
      </c>
    </row>
    <row r="254" spans="1:25" x14ac:dyDescent="0.25">
      <c r="A254">
        <v>0</v>
      </c>
      <c r="B254">
        <v>0.52077737400000002</v>
      </c>
      <c r="C254">
        <v>0.31460638400000002</v>
      </c>
      <c r="D254">
        <v>0.31115205600000001</v>
      </c>
      <c r="E254">
        <v>0.31625087099999999</v>
      </c>
      <c r="F254">
        <v>0.13899115500000001</v>
      </c>
      <c r="G254">
        <v>3.2602543310000001</v>
      </c>
      <c r="H254">
        <v>299.10503740000001</v>
      </c>
      <c r="I254">
        <v>298.9765989</v>
      </c>
      <c r="J254">
        <v>298.97779600000001</v>
      </c>
      <c r="K254">
        <v>299.0822617</v>
      </c>
      <c r="L254">
        <v>299.33683669999999</v>
      </c>
      <c r="M254">
        <v>304.85000000000002</v>
      </c>
      <c r="N254">
        <v>0.56999999999999995</v>
      </c>
      <c r="O254">
        <v>37480.08382</v>
      </c>
      <c r="Q254">
        <v>299.14999999999998</v>
      </c>
      <c r="R254">
        <v>26</v>
      </c>
      <c r="S254">
        <f t="shared" si="19"/>
        <v>25.955037400000037</v>
      </c>
      <c r="T254">
        <f t="shared" si="20"/>
        <v>25.826598900000022</v>
      </c>
      <c r="U254">
        <f t="shared" si="21"/>
        <v>25.827796000000035</v>
      </c>
      <c r="V254">
        <f t="shared" si="22"/>
        <v>25.932261700000026</v>
      </c>
      <c r="W254">
        <f t="shared" si="23"/>
        <v>26.186836700000015</v>
      </c>
      <c r="Y254">
        <f t="shared" si="24"/>
        <v>63</v>
      </c>
    </row>
    <row r="255" spans="1:25" x14ac:dyDescent="0.25">
      <c r="A255">
        <v>0</v>
      </c>
      <c r="B255">
        <v>0.39155679700000001</v>
      </c>
      <c r="C255">
        <v>0.22891041000000001</v>
      </c>
      <c r="D255">
        <v>0.212879137</v>
      </c>
      <c r="E255">
        <v>0.25372624999999999</v>
      </c>
      <c r="F255">
        <v>0.191523161</v>
      </c>
      <c r="G255">
        <v>2.6804535719999998</v>
      </c>
      <c r="H255">
        <v>299.36486830000001</v>
      </c>
      <c r="I255">
        <v>299.23472909999998</v>
      </c>
      <c r="J255">
        <v>299.25142540000002</v>
      </c>
      <c r="K255">
        <v>299.32394390000002</v>
      </c>
      <c r="L255">
        <v>299.41700109999999</v>
      </c>
      <c r="M255">
        <v>304.85000000000002</v>
      </c>
      <c r="N255">
        <v>0.56499999999999995</v>
      </c>
      <c r="O255">
        <v>32430.690989999999</v>
      </c>
      <c r="Q255">
        <v>299.14999999999998</v>
      </c>
      <c r="R255">
        <v>26</v>
      </c>
      <c r="S255">
        <f t="shared" si="19"/>
        <v>26.214868300000035</v>
      </c>
      <c r="T255">
        <f t="shared" si="20"/>
        <v>26.084729100000004</v>
      </c>
      <c r="U255">
        <f t="shared" si="21"/>
        <v>26.101425400000039</v>
      </c>
      <c r="V255">
        <f t="shared" si="22"/>
        <v>26.17394390000004</v>
      </c>
      <c r="W255">
        <f t="shared" si="23"/>
        <v>26.267001100000016</v>
      </c>
      <c r="Y255">
        <f t="shared" si="24"/>
        <v>63.25</v>
      </c>
    </row>
    <row r="256" spans="1:25" x14ac:dyDescent="0.25">
      <c r="A256">
        <v>0</v>
      </c>
      <c r="B256">
        <v>0.41113017000000002</v>
      </c>
      <c r="C256">
        <v>0.29428644199999998</v>
      </c>
      <c r="D256">
        <v>0.28143652299999999</v>
      </c>
      <c r="E256">
        <v>0.28781004100000002</v>
      </c>
      <c r="F256">
        <v>0.159959198</v>
      </c>
      <c r="G256">
        <v>2.9065356000000002</v>
      </c>
      <c r="H256">
        <v>299.29309760000001</v>
      </c>
      <c r="I256">
        <v>299.00794289999999</v>
      </c>
      <c r="J256">
        <v>299.06197079999998</v>
      </c>
      <c r="K256">
        <v>299.25333879999999</v>
      </c>
      <c r="L256">
        <v>299.3583112</v>
      </c>
      <c r="M256">
        <v>304.85000000000002</v>
      </c>
      <c r="N256">
        <v>0.56000000000000005</v>
      </c>
      <c r="O256">
        <v>32692.688099999999</v>
      </c>
      <c r="Q256">
        <v>299.14999999999998</v>
      </c>
      <c r="R256">
        <v>26</v>
      </c>
      <c r="S256">
        <f t="shared" si="19"/>
        <v>26.143097600000033</v>
      </c>
      <c r="T256">
        <f t="shared" si="20"/>
        <v>25.857942900000012</v>
      </c>
      <c r="U256">
        <f t="shared" si="21"/>
        <v>25.911970800000006</v>
      </c>
      <c r="V256">
        <f t="shared" si="22"/>
        <v>26.103338800000017</v>
      </c>
      <c r="W256">
        <f t="shared" si="23"/>
        <v>26.208311200000026</v>
      </c>
      <c r="Y256">
        <f t="shared" si="24"/>
        <v>63.5</v>
      </c>
    </row>
    <row r="257" spans="1:25" x14ac:dyDescent="0.25">
      <c r="A257">
        <v>0</v>
      </c>
      <c r="B257">
        <v>0.36521415099999999</v>
      </c>
      <c r="C257">
        <v>0.18917690200000001</v>
      </c>
      <c r="D257">
        <v>0.18596460000000001</v>
      </c>
      <c r="E257">
        <v>0.22673913800000001</v>
      </c>
      <c r="F257">
        <v>0.12814871</v>
      </c>
      <c r="G257">
        <v>2.324623957</v>
      </c>
      <c r="H257">
        <v>299.48727530000002</v>
      </c>
      <c r="I257">
        <v>299.4619831</v>
      </c>
      <c r="J257">
        <v>299.44412519999997</v>
      </c>
      <c r="K257">
        <v>299.61783359999998</v>
      </c>
      <c r="L257">
        <v>299.57442090000001</v>
      </c>
      <c r="M257">
        <v>304.85000000000002</v>
      </c>
      <c r="N257">
        <v>0.55500000000000005</v>
      </c>
      <c r="O257">
        <v>23720.551159999999</v>
      </c>
      <c r="Q257">
        <v>299.14999999999998</v>
      </c>
      <c r="R257">
        <v>26</v>
      </c>
      <c r="S257">
        <f t="shared" si="19"/>
        <v>26.337275300000044</v>
      </c>
      <c r="T257">
        <f t="shared" si="20"/>
        <v>26.31198310000002</v>
      </c>
      <c r="U257">
        <f t="shared" si="21"/>
        <v>26.294125199999996</v>
      </c>
      <c r="V257">
        <f t="shared" si="22"/>
        <v>26.467833600000006</v>
      </c>
      <c r="W257">
        <f t="shared" si="23"/>
        <v>26.42442090000003</v>
      </c>
      <c r="Y257">
        <f t="shared" si="24"/>
        <v>63.75</v>
      </c>
    </row>
    <row r="258" spans="1:25" x14ac:dyDescent="0.25">
      <c r="A258">
        <v>0</v>
      </c>
      <c r="B258">
        <v>0.228153619</v>
      </c>
      <c r="C258">
        <v>5.0892833999999998E-2</v>
      </c>
      <c r="D258">
        <v>5.2753172000000001E-2</v>
      </c>
      <c r="E258">
        <v>0.14083607300000001</v>
      </c>
      <c r="F258">
        <v>0.13634707500000001</v>
      </c>
      <c r="G258">
        <v>1.5740384869999999</v>
      </c>
      <c r="H258">
        <v>300.22885869999999</v>
      </c>
      <c r="I258">
        <v>300.3658125</v>
      </c>
      <c r="J258">
        <v>300.2495983</v>
      </c>
      <c r="K258">
        <v>300.38561010000001</v>
      </c>
      <c r="L258">
        <v>300.09068409999998</v>
      </c>
      <c r="M258">
        <v>304.85000000000002</v>
      </c>
      <c r="N258">
        <v>0.55000000000000004</v>
      </c>
      <c r="O258">
        <v>21282.88292</v>
      </c>
      <c r="Q258">
        <v>299.14999999999998</v>
      </c>
      <c r="R258">
        <v>26</v>
      </c>
      <c r="S258">
        <f t="shared" si="19"/>
        <v>27.078858700000012</v>
      </c>
      <c r="T258">
        <f t="shared" si="20"/>
        <v>27.215812500000027</v>
      </c>
      <c r="U258">
        <f t="shared" si="21"/>
        <v>27.099598300000025</v>
      </c>
      <c r="V258">
        <f t="shared" si="22"/>
        <v>27.235610100000031</v>
      </c>
      <c r="W258">
        <f t="shared" si="23"/>
        <v>26.940684099999999</v>
      </c>
      <c r="Y258">
        <f t="shared" si="24"/>
        <v>64</v>
      </c>
    </row>
    <row r="259" spans="1:25" x14ac:dyDescent="0.25">
      <c r="A259">
        <v>0</v>
      </c>
      <c r="B259">
        <v>0.28227101300000002</v>
      </c>
      <c r="C259">
        <v>0.214945946</v>
      </c>
      <c r="D259">
        <v>0.22395995699999999</v>
      </c>
      <c r="E259">
        <v>0.24559334799999999</v>
      </c>
      <c r="F259">
        <v>0.121155928</v>
      </c>
      <c r="G259">
        <v>2.2587092090000001</v>
      </c>
      <c r="H259">
        <v>300.07132080000002</v>
      </c>
      <c r="I259">
        <v>299.7620359</v>
      </c>
      <c r="J259">
        <v>299.7163516</v>
      </c>
      <c r="K259">
        <v>300.09820500000001</v>
      </c>
      <c r="L259">
        <v>299.90279529999998</v>
      </c>
      <c r="M259">
        <v>304.70502720000002</v>
      </c>
      <c r="N259">
        <v>0.55562500000000004</v>
      </c>
      <c r="O259">
        <v>28333.899730000001</v>
      </c>
      <c r="Q259">
        <v>299.14999999999998</v>
      </c>
      <c r="R259">
        <v>26</v>
      </c>
      <c r="S259">
        <f t="shared" ref="S259:S322" si="25">H259-273.15</f>
        <v>26.921320800000046</v>
      </c>
      <c r="T259">
        <f t="shared" ref="T259:T322" si="26">I259-273.15</f>
        <v>26.612035900000024</v>
      </c>
      <c r="U259">
        <f t="shared" ref="U259:U322" si="27">J259-273.15</f>
        <v>26.566351600000019</v>
      </c>
      <c r="V259">
        <f t="shared" ref="V259:V322" si="28">K259-273.15</f>
        <v>26.94820500000003</v>
      </c>
      <c r="W259">
        <f t="shared" ref="W259:W322" si="29">L259-273.15</f>
        <v>26.752795300000002</v>
      </c>
      <c r="Y259">
        <f t="shared" si="24"/>
        <v>64.25</v>
      </c>
    </row>
    <row r="260" spans="1:25" x14ac:dyDescent="0.25">
      <c r="A260">
        <v>0</v>
      </c>
      <c r="B260">
        <v>0.49450334899999998</v>
      </c>
      <c r="C260">
        <v>0.41891625399999999</v>
      </c>
      <c r="D260">
        <v>0.44536164299999997</v>
      </c>
      <c r="E260">
        <v>0.40327524999999997</v>
      </c>
      <c r="F260">
        <v>7.7731440999999998E-2</v>
      </c>
      <c r="G260">
        <v>3.5385973279999998</v>
      </c>
      <c r="H260">
        <v>299.15955250000002</v>
      </c>
      <c r="I260">
        <v>298.7071186</v>
      </c>
      <c r="J260">
        <v>298.77336600000001</v>
      </c>
      <c r="K260">
        <v>299.17590360000003</v>
      </c>
      <c r="L260">
        <v>299.33012919999999</v>
      </c>
      <c r="M260">
        <v>304.37173910000001</v>
      </c>
      <c r="N260">
        <v>0.57499999999999996</v>
      </c>
      <c r="O260">
        <v>38422.833030000002</v>
      </c>
      <c r="Q260">
        <v>299.14999999999998</v>
      </c>
      <c r="R260">
        <v>26</v>
      </c>
      <c r="S260">
        <f t="shared" si="25"/>
        <v>26.009552500000041</v>
      </c>
      <c r="T260">
        <f t="shared" si="26"/>
        <v>25.557118600000024</v>
      </c>
      <c r="U260">
        <f t="shared" si="27"/>
        <v>25.623366000000033</v>
      </c>
      <c r="V260">
        <f t="shared" si="28"/>
        <v>26.025903600000049</v>
      </c>
      <c r="W260">
        <f t="shared" si="29"/>
        <v>26.18012920000001</v>
      </c>
      <c r="Y260">
        <f t="shared" ref="Y260:Y289" si="30">Y259+0.25</f>
        <v>64.5</v>
      </c>
    </row>
    <row r="261" spans="1:25" x14ac:dyDescent="0.25">
      <c r="A261">
        <v>0</v>
      </c>
      <c r="B261">
        <v>0.47892377800000002</v>
      </c>
      <c r="C261">
        <v>0.318998585</v>
      </c>
      <c r="D261">
        <v>0.34225378000000001</v>
      </c>
      <c r="E261">
        <v>0.37660100899999999</v>
      </c>
      <c r="F261">
        <v>9.7204200000000004E-2</v>
      </c>
      <c r="G261">
        <v>3.2354329270000002</v>
      </c>
      <c r="H261">
        <v>299.03975380000003</v>
      </c>
      <c r="I261">
        <v>298.85585650000002</v>
      </c>
      <c r="J261">
        <v>298.89587060000002</v>
      </c>
      <c r="K261">
        <v>299.12755629999998</v>
      </c>
      <c r="L261">
        <v>299.25813040000003</v>
      </c>
      <c r="M261">
        <v>304.00258150000002</v>
      </c>
      <c r="N261">
        <v>0.59687500000000004</v>
      </c>
      <c r="O261">
        <v>35914.73775</v>
      </c>
      <c r="Q261">
        <v>299.14999999999998</v>
      </c>
      <c r="R261">
        <v>26</v>
      </c>
      <c r="S261">
        <f t="shared" si="25"/>
        <v>25.889753800000051</v>
      </c>
      <c r="T261">
        <f t="shared" si="26"/>
        <v>25.705856500000039</v>
      </c>
      <c r="U261">
        <f t="shared" si="27"/>
        <v>25.745870600000046</v>
      </c>
      <c r="V261">
        <f t="shared" si="28"/>
        <v>25.977556300000003</v>
      </c>
      <c r="W261">
        <f t="shared" si="29"/>
        <v>26.10813040000005</v>
      </c>
      <c r="Y261">
        <f t="shared" si="30"/>
        <v>64.75</v>
      </c>
    </row>
    <row r="262" spans="1:25" x14ac:dyDescent="0.25">
      <c r="A262">
        <v>0</v>
      </c>
      <c r="B262">
        <v>0.32699088900000001</v>
      </c>
      <c r="C262">
        <v>0.21941438399999999</v>
      </c>
      <c r="D262">
        <v>0.222051739</v>
      </c>
      <c r="E262">
        <v>0.28587138000000001</v>
      </c>
      <c r="F262">
        <v>0.129167479</v>
      </c>
      <c r="G262">
        <v>2.4813152729999999</v>
      </c>
      <c r="H262">
        <v>299.41174590000003</v>
      </c>
      <c r="I262">
        <v>299.21048330000002</v>
      </c>
      <c r="J262">
        <v>299.2590692</v>
      </c>
      <c r="K262">
        <v>299.4481356</v>
      </c>
      <c r="L262">
        <v>299.41677279999999</v>
      </c>
      <c r="M262">
        <v>303.75</v>
      </c>
      <c r="N262">
        <v>0.61</v>
      </c>
      <c r="O262">
        <v>29532.21198</v>
      </c>
      <c r="Q262">
        <v>299.14999999999998</v>
      </c>
      <c r="R262">
        <v>26</v>
      </c>
      <c r="S262">
        <f t="shared" si="25"/>
        <v>26.261745900000051</v>
      </c>
      <c r="T262">
        <f t="shared" si="26"/>
        <v>26.060483300000044</v>
      </c>
      <c r="U262">
        <f t="shared" si="27"/>
        <v>26.109069200000022</v>
      </c>
      <c r="V262">
        <f t="shared" si="28"/>
        <v>26.298135600000023</v>
      </c>
      <c r="W262">
        <f t="shared" si="29"/>
        <v>26.266772800000012</v>
      </c>
      <c r="Y262">
        <f t="shared" si="30"/>
        <v>65</v>
      </c>
    </row>
    <row r="263" spans="1:25" x14ac:dyDescent="0.25">
      <c r="A263">
        <v>0</v>
      </c>
      <c r="B263">
        <v>0.36747099500000002</v>
      </c>
      <c r="C263">
        <v>0.28353867500000002</v>
      </c>
      <c r="D263">
        <v>0.29244893599999999</v>
      </c>
      <c r="E263">
        <v>0.31784568899999999</v>
      </c>
      <c r="F263">
        <v>0.10176432000000001</v>
      </c>
      <c r="G263">
        <v>2.7533511389999998</v>
      </c>
      <c r="H263">
        <v>299.2095319</v>
      </c>
      <c r="I263">
        <v>298.89425189999997</v>
      </c>
      <c r="J263">
        <v>298.97766689999997</v>
      </c>
      <c r="K263">
        <v>299.26831140000002</v>
      </c>
      <c r="L263">
        <v>299.28944050000001</v>
      </c>
      <c r="M263">
        <v>303.69619569999998</v>
      </c>
      <c r="N263">
        <v>0.61499999999999999</v>
      </c>
      <c r="O263">
        <v>31692.177380000001</v>
      </c>
      <c r="Q263">
        <v>299.14999999999998</v>
      </c>
      <c r="R263">
        <v>26</v>
      </c>
      <c r="S263">
        <f t="shared" si="25"/>
        <v>26.059531900000025</v>
      </c>
      <c r="T263">
        <f t="shared" si="26"/>
        <v>25.744251899999995</v>
      </c>
      <c r="U263">
        <f t="shared" si="27"/>
        <v>25.827666899999997</v>
      </c>
      <c r="V263">
        <f t="shared" si="28"/>
        <v>26.118311400000039</v>
      </c>
      <c r="W263">
        <f t="shared" si="29"/>
        <v>26.139440500000035</v>
      </c>
      <c r="Y263">
        <f t="shared" si="30"/>
        <v>65.25</v>
      </c>
    </row>
    <row r="264" spans="1:25" x14ac:dyDescent="0.25">
      <c r="A264">
        <v>0</v>
      </c>
      <c r="B264">
        <v>0.357903572</v>
      </c>
      <c r="C264">
        <v>0.203652734</v>
      </c>
      <c r="D264">
        <v>0.223774009</v>
      </c>
      <c r="E264">
        <v>0.28416629799999998</v>
      </c>
      <c r="F264">
        <v>6.5608033999999996E-2</v>
      </c>
      <c r="G264">
        <v>2.3878643400000001</v>
      </c>
      <c r="H264">
        <v>299.20238449999999</v>
      </c>
      <c r="I264">
        <v>299.14858270000002</v>
      </c>
      <c r="J264">
        <v>299.15855349999998</v>
      </c>
      <c r="K264">
        <v>299.37117160000003</v>
      </c>
      <c r="L264">
        <v>299.34922299999999</v>
      </c>
      <c r="M264">
        <v>303.75</v>
      </c>
      <c r="N264">
        <v>0.62</v>
      </c>
      <c r="O264">
        <v>22937.292819999999</v>
      </c>
      <c r="Q264">
        <v>299.14999999999998</v>
      </c>
      <c r="R264">
        <v>26</v>
      </c>
      <c r="S264">
        <f t="shared" si="25"/>
        <v>26.052384500000016</v>
      </c>
      <c r="T264">
        <f t="shared" si="26"/>
        <v>25.998582700000043</v>
      </c>
      <c r="U264">
        <f t="shared" si="27"/>
        <v>26.008553500000005</v>
      </c>
      <c r="V264">
        <f t="shared" si="28"/>
        <v>26.221171600000048</v>
      </c>
      <c r="W264">
        <f t="shared" si="29"/>
        <v>26.199223000000018</v>
      </c>
      <c r="Y264">
        <f t="shared" si="30"/>
        <v>65.5</v>
      </c>
    </row>
    <row r="265" spans="1:25" x14ac:dyDescent="0.25">
      <c r="A265">
        <v>0</v>
      </c>
      <c r="B265">
        <v>0.17824399499999999</v>
      </c>
      <c r="C265">
        <v>5.0997696000000002E-2</v>
      </c>
      <c r="D265">
        <v>5.1054960000000003E-2</v>
      </c>
      <c r="E265">
        <v>0.16518677400000001</v>
      </c>
      <c r="F265">
        <v>1.4582024000000001E-2</v>
      </c>
      <c r="G265">
        <v>1.393709611</v>
      </c>
      <c r="H265">
        <v>300.05657889999998</v>
      </c>
      <c r="I265">
        <v>300.11027419999999</v>
      </c>
      <c r="J265">
        <v>300.0542547</v>
      </c>
      <c r="K265">
        <v>300.20928259999999</v>
      </c>
      <c r="L265">
        <v>299.89387729999999</v>
      </c>
      <c r="M265">
        <v>303.80380430000002</v>
      </c>
      <c r="N265">
        <v>0.625</v>
      </c>
      <c r="O265">
        <v>17451.794829999999</v>
      </c>
      <c r="Q265">
        <v>299.14999999999998</v>
      </c>
      <c r="R265">
        <v>26</v>
      </c>
      <c r="S265">
        <f t="shared" si="25"/>
        <v>26.9065789</v>
      </c>
      <c r="T265">
        <f t="shared" si="26"/>
        <v>26.960274200000015</v>
      </c>
      <c r="U265">
        <f t="shared" si="27"/>
        <v>26.904254700000024</v>
      </c>
      <c r="V265">
        <f t="shared" si="28"/>
        <v>27.059282600000017</v>
      </c>
      <c r="W265">
        <f t="shared" si="29"/>
        <v>26.743877300000008</v>
      </c>
      <c r="Y265">
        <f t="shared" si="30"/>
        <v>65.75</v>
      </c>
    </row>
    <row r="266" spans="1:25" x14ac:dyDescent="0.25">
      <c r="A266">
        <v>0</v>
      </c>
      <c r="B266">
        <v>0.18705286600000001</v>
      </c>
      <c r="C266">
        <v>0.12539496</v>
      </c>
      <c r="D266">
        <v>0.13005910100000001</v>
      </c>
      <c r="E266">
        <v>0.20542355100000001</v>
      </c>
      <c r="F266">
        <v>1.6140818000000001E-2</v>
      </c>
      <c r="G266">
        <v>1.666639175</v>
      </c>
      <c r="H266">
        <v>299.96547570000001</v>
      </c>
      <c r="I266">
        <v>299.7871035</v>
      </c>
      <c r="J266">
        <v>299.76504290000003</v>
      </c>
      <c r="K266">
        <v>300.0098959</v>
      </c>
      <c r="L266">
        <v>299.76794489999997</v>
      </c>
      <c r="M266">
        <v>303.75</v>
      </c>
      <c r="N266">
        <v>0.63</v>
      </c>
      <c r="O266">
        <v>15210.81906</v>
      </c>
      <c r="Q266">
        <v>299.14999999999998</v>
      </c>
      <c r="R266">
        <v>26</v>
      </c>
      <c r="S266">
        <f t="shared" si="25"/>
        <v>26.815475700000036</v>
      </c>
      <c r="T266">
        <f t="shared" si="26"/>
        <v>26.637103500000023</v>
      </c>
      <c r="U266">
        <f t="shared" si="27"/>
        <v>26.615042900000049</v>
      </c>
      <c r="V266">
        <f t="shared" si="28"/>
        <v>26.859895900000026</v>
      </c>
      <c r="W266">
        <f t="shared" si="29"/>
        <v>26.617944899999998</v>
      </c>
      <c r="Y266">
        <f t="shared" si="30"/>
        <v>66</v>
      </c>
    </row>
    <row r="267" spans="1:25" x14ac:dyDescent="0.25">
      <c r="A267">
        <v>0</v>
      </c>
      <c r="B267">
        <v>0.342797554</v>
      </c>
      <c r="C267">
        <v>0.32552884900000001</v>
      </c>
      <c r="D267">
        <v>0.342797554</v>
      </c>
      <c r="E267">
        <v>0.25318910500000003</v>
      </c>
      <c r="F267">
        <v>0.159264655</v>
      </c>
      <c r="G267">
        <v>2.758499262</v>
      </c>
      <c r="H267">
        <v>299.20919909999998</v>
      </c>
      <c r="I267">
        <v>298.73178739999997</v>
      </c>
      <c r="J267">
        <v>298.8448095</v>
      </c>
      <c r="K267">
        <v>299.4036132</v>
      </c>
      <c r="L267">
        <v>299.37009619999998</v>
      </c>
      <c r="M267">
        <v>303.52304349999997</v>
      </c>
      <c r="N267">
        <v>0.63500000000000001</v>
      </c>
      <c r="O267">
        <v>32031.75675</v>
      </c>
      <c r="Q267">
        <v>299.14999999999998</v>
      </c>
      <c r="R267">
        <v>26</v>
      </c>
      <c r="S267">
        <f t="shared" si="25"/>
        <v>26.059199100000001</v>
      </c>
      <c r="T267">
        <f t="shared" si="26"/>
        <v>25.581787399999996</v>
      </c>
      <c r="U267">
        <f t="shared" si="27"/>
        <v>25.694809500000019</v>
      </c>
      <c r="V267">
        <f t="shared" si="28"/>
        <v>26.253613200000018</v>
      </c>
      <c r="W267">
        <f t="shared" si="29"/>
        <v>26.2200962</v>
      </c>
      <c r="Y267">
        <f t="shared" si="30"/>
        <v>66.25</v>
      </c>
    </row>
    <row r="268" spans="1:25" x14ac:dyDescent="0.25">
      <c r="A268">
        <v>0</v>
      </c>
      <c r="B268">
        <v>0.39920355499999999</v>
      </c>
      <c r="C268">
        <v>0.277950631</v>
      </c>
      <c r="D268">
        <v>0.30482578599999999</v>
      </c>
      <c r="E268">
        <v>0.33262391099999999</v>
      </c>
      <c r="F268">
        <v>2.9107267999999999E-2</v>
      </c>
      <c r="G268">
        <v>2.7151468919999999</v>
      </c>
      <c r="H268">
        <v>298.68235199999998</v>
      </c>
      <c r="I268">
        <v>298.47837010000001</v>
      </c>
      <c r="J268">
        <v>298.55655389999998</v>
      </c>
      <c r="K268">
        <v>298.77625640000002</v>
      </c>
      <c r="L268">
        <v>298.93662879999999</v>
      </c>
      <c r="M268">
        <v>303.18826089999999</v>
      </c>
      <c r="N268">
        <v>0.64</v>
      </c>
      <c r="O268">
        <v>30858.47752</v>
      </c>
      <c r="Q268">
        <v>299.14999999999998</v>
      </c>
      <c r="R268">
        <v>26</v>
      </c>
      <c r="S268">
        <f t="shared" si="25"/>
        <v>25.532352000000003</v>
      </c>
      <c r="T268">
        <f t="shared" si="26"/>
        <v>25.328370100000029</v>
      </c>
      <c r="U268">
        <f t="shared" si="27"/>
        <v>25.406553900000006</v>
      </c>
      <c r="V268">
        <f t="shared" si="28"/>
        <v>25.626256400000045</v>
      </c>
      <c r="W268">
        <f t="shared" si="29"/>
        <v>25.786628800000017</v>
      </c>
      <c r="Y268">
        <f t="shared" si="30"/>
        <v>66.5</v>
      </c>
    </row>
    <row r="269" spans="1:25" x14ac:dyDescent="0.25">
      <c r="A269">
        <v>0</v>
      </c>
      <c r="B269">
        <v>0.29038117099999999</v>
      </c>
      <c r="C269">
        <v>0.207883658</v>
      </c>
      <c r="D269">
        <v>0.224547583</v>
      </c>
      <c r="E269">
        <v>0.27910238199999998</v>
      </c>
      <c r="F269">
        <v>7.6341061000000002E-2</v>
      </c>
      <c r="G269">
        <v>2.271271987</v>
      </c>
      <c r="H269">
        <v>298.88986820000002</v>
      </c>
      <c r="I269">
        <v>298.66201269999999</v>
      </c>
      <c r="J269">
        <v>298.71649839999998</v>
      </c>
      <c r="K269">
        <v>298.85011700000001</v>
      </c>
      <c r="L269">
        <v>298.97285199999999</v>
      </c>
      <c r="M269">
        <v>302.83434779999999</v>
      </c>
      <c r="N269">
        <v>0.64500000000000002</v>
      </c>
      <c r="O269">
        <v>24741.589800000002</v>
      </c>
      <c r="Q269">
        <v>299.14999999999998</v>
      </c>
      <c r="R269">
        <v>26</v>
      </c>
      <c r="S269">
        <f t="shared" si="25"/>
        <v>25.739868200000046</v>
      </c>
      <c r="T269">
        <f t="shared" si="26"/>
        <v>25.512012700000014</v>
      </c>
      <c r="U269">
        <f t="shared" si="27"/>
        <v>25.5664984</v>
      </c>
      <c r="V269">
        <f t="shared" si="28"/>
        <v>25.700117000000034</v>
      </c>
      <c r="W269">
        <f t="shared" si="29"/>
        <v>25.822852000000012</v>
      </c>
      <c r="Y269">
        <f t="shared" si="30"/>
        <v>66.75</v>
      </c>
    </row>
    <row r="270" spans="1:25" x14ac:dyDescent="0.25">
      <c r="A270">
        <v>0</v>
      </c>
      <c r="B270">
        <v>0.26098091699999998</v>
      </c>
      <c r="C270">
        <v>0.19911379100000001</v>
      </c>
      <c r="D270">
        <v>0.21015577499999999</v>
      </c>
      <c r="E270">
        <v>0.248262548</v>
      </c>
      <c r="F270">
        <v>2.6294759999999999E-3</v>
      </c>
      <c r="G270">
        <v>2.0005939850000001</v>
      </c>
      <c r="H270">
        <v>298.96292260000001</v>
      </c>
      <c r="I270">
        <v>298.70686719999998</v>
      </c>
      <c r="J270">
        <v>298.7559756</v>
      </c>
      <c r="K270">
        <v>298.98103700000001</v>
      </c>
      <c r="L270">
        <v>299.04486259999999</v>
      </c>
      <c r="M270">
        <v>302.55</v>
      </c>
      <c r="N270">
        <v>0.65</v>
      </c>
      <c r="O270">
        <v>19796.839820000001</v>
      </c>
      <c r="Q270">
        <v>299.14999999999998</v>
      </c>
      <c r="R270">
        <v>26</v>
      </c>
      <c r="S270">
        <f t="shared" si="25"/>
        <v>25.812922600000036</v>
      </c>
      <c r="T270">
        <f t="shared" si="26"/>
        <v>25.556867199999999</v>
      </c>
      <c r="U270">
        <f t="shared" si="27"/>
        <v>25.605975600000022</v>
      </c>
      <c r="V270">
        <f t="shared" si="28"/>
        <v>25.831037000000038</v>
      </c>
      <c r="W270">
        <f t="shared" si="29"/>
        <v>25.89486260000001</v>
      </c>
      <c r="Y270">
        <f t="shared" si="30"/>
        <v>67</v>
      </c>
    </row>
    <row r="271" spans="1:25" x14ac:dyDescent="0.25">
      <c r="A271">
        <v>0</v>
      </c>
      <c r="B271">
        <v>8.1993169999999994E-3</v>
      </c>
      <c r="C271">
        <v>7.7862690000000002E-3</v>
      </c>
      <c r="D271">
        <v>8.1993159999999999E-3</v>
      </c>
      <c r="E271">
        <v>6.0559869999999997E-3</v>
      </c>
      <c r="F271">
        <v>-0.19727035700000001</v>
      </c>
      <c r="G271">
        <v>6.9135252999999994E-2</v>
      </c>
      <c r="H271">
        <v>300.51417350000003</v>
      </c>
      <c r="I271">
        <v>300.33836100000002</v>
      </c>
      <c r="J271">
        <v>300.14986529999999</v>
      </c>
      <c r="K271">
        <v>300.70162820000002</v>
      </c>
      <c r="L271">
        <v>300.18237900000003</v>
      </c>
      <c r="M271">
        <v>302.47265629999998</v>
      </c>
      <c r="N271">
        <v>0.64953125</v>
      </c>
      <c r="O271">
        <v>1479.1242139999999</v>
      </c>
      <c r="Q271">
        <v>299.14999999999998</v>
      </c>
      <c r="R271">
        <v>26</v>
      </c>
      <c r="S271">
        <f t="shared" si="25"/>
        <v>27.364173500000049</v>
      </c>
      <c r="T271">
        <f t="shared" si="26"/>
        <v>27.188361000000043</v>
      </c>
      <c r="U271">
        <f t="shared" si="27"/>
        <v>26.99986530000001</v>
      </c>
      <c r="V271">
        <f t="shared" si="28"/>
        <v>27.551628200000039</v>
      </c>
      <c r="W271">
        <f t="shared" si="29"/>
        <v>27.032379000000049</v>
      </c>
      <c r="Y271">
        <f t="shared" si="30"/>
        <v>67.25</v>
      </c>
    </row>
    <row r="272" spans="1:25" x14ac:dyDescent="0.25">
      <c r="A272">
        <v>0</v>
      </c>
      <c r="B272">
        <v>1.4099407E-2</v>
      </c>
      <c r="C272">
        <v>1.3389138E-2</v>
      </c>
      <c r="D272">
        <v>1.4099407E-2</v>
      </c>
      <c r="E272">
        <v>1.0413774000000001E-2</v>
      </c>
      <c r="F272">
        <v>-0.19639247600000001</v>
      </c>
      <c r="G272">
        <v>0.118884858</v>
      </c>
      <c r="H272">
        <v>300.65522440000001</v>
      </c>
      <c r="I272">
        <v>300.47786669999999</v>
      </c>
      <c r="J272">
        <v>300.30400090000001</v>
      </c>
      <c r="K272">
        <v>300.83311559999999</v>
      </c>
      <c r="L272">
        <v>300.30333139999999</v>
      </c>
      <c r="M272">
        <v>302.56375000000003</v>
      </c>
      <c r="N272">
        <v>0.64375000000000004</v>
      </c>
      <c r="O272">
        <v>1519.2711670000001</v>
      </c>
      <c r="Q272">
        <v>299.14999999999998</v>
      </c>
      <c r="R272">
        <v>26</v>
      </c>
      <c r="S272">
        <f t="shared" si="25"/>
        <v>27.505224400000031</v>
      </c>
      <c r="T272">
        <f t="shared" si="26"/>
        <v>27.327866700000015</v>
      </c>
      <c r="U272">
        <f t="shared" si="27"/>
        <v>27.154000900000028</v>
      </c>
      <c r="V272">
        <f t="shared" si="28"/>
        <v>27.683115600000008</v>
      </c>
      <c r="W272">
        <f t="shared" si="29"/>
        <v>27.153331400000013</v>
      </c>
      <c r="Y272">
        <f t="shared" si="30"/>
        <v>67.5</v>
      </c>
    </row>
    <row r="273" spans="1:25" x14ac:dyDescent="0.25">
      <c r="A273">
        <v>0</v>
      </c>
      <c r="B273">
        <v>1.6231367E-2</v>
      </c>
      <c r="C273">
        <v>1.5413698999999999E-2</v>
      </c>
      <c r="D273">
        <v>1.6231367E-2</v>
      </c>
      <c r="E273">
        <v>1.1988432E-2</v>
      </c>
      <c r="F273">
        <v>-0.19489590600000001</v>
      </c>
      <c r="G273">
        <v>0.13686188299999999</v>
      </c>
      <c r="H273">
        <v>300.65296230000001</v>
      </c>
      <c r="I273">
        <v>300.4718001</v>
      </c>
      <c r="J273">
        <v>300.29954090000001</v>
      </c>
      <c r="K273">
        <v>300.82160759999999</v>
      </c>
      <c r="L273">
        <v>300.29937260000003</v>
      </c>
      <c r="M273">
        <v>302.64796869999998</v>
      </c>
      <c r="N273">
        <v>0.64109375000000002</v>
      </c>
      <c r="O273">
        <v>1539.012264</v>
      </c>
      <c r="Q273">
        <v>299.14999999999998</v>
      </c>
      <c r="R273">
        <v>26</v>
      </c>
      <c r="S273">
        <f t="shared" si="25"/>
        <v>27.502962300000036</v>
      </c>
      <c r="T273">
        <f t="shared" si="26"/>
        <v>27.321800100000019</v>
      </c>
      <c r="U273">
        <f t="shared" si="27"/>
        <v>27.149540900000034</v>
      </c>
      <c r="V273">
        <f t="shared" si="28"/>
        <v>27.671607600000016</v>
      </c>
      <c r="W273">
        <f t="shared" si="29"/>
        <v>27.149372600000049</v>
      </c>
      <c r="Y273">
        <f t="shared" si="30"/>
        <v>67.75</v>
      </c>
    </row>
    <row r="274" spans="1:25" x14ac:dyDescent="0.25">
      <c r="A274">
        <v>0</v>
      </c>
      <c r="B274">
        <v>1.6262282999999999E-2</v>
      </c>
      <c r="C274">
        <v>1.5443058000000001E-2</v>
      </c>
      <c r="D274">
        <v>1.6262282999999999E-2</v>
      </c>
      <c r="E274">
        <v>1.2011267000000001E-2</v>
      </c>
      <c r="F274">
        <v>-0.19639630699999999</v>
      </c>
      <c r="G274">
        <v>0.13712259299999999</v>
      </c>
      <c r="H274">
        <v>300.66988459999999</v>
      </c>
      <c r="I274">
        <v>300.49463600000001</v>
      </c>
      <c r="J274">
        <v>300.32018169999998</v>
      </c>
      <c r="K274">
        <v>300.83311170000002</v>
      </c>
      <c r="L274">
        <v>300.31677880000001</v>
      </c>
      <c r="M274">
        <v>302.55</v>
      </c>
      <c r="N274">
        <v>0.65</v>
      </c>
      <c r="O274">
        <v>1539.1984560000001</v>
      </c>
      <c r="Q274">
        <v>299.14999999999998</v>
      </c>
      <c r="R274">
        <v>30</v>
      </c>
      <c r="S274">
        <f t="shared" si="25"/>
        <v>27.519884600000012</v>
      </c>
      <c r="T274">
        <f t="shared" si="26"/>
        <v>27.344636000000037</v>
      </c>
      <c r="U274">
        <f t="shared" si="27"/>
        <v>27.170181700000001</v>
      </c>
      <c r="V274">
        <f t="shared" si="28"/>
        <v>27.68311170000004</v>
      </c>
      <c r="W274">
        <f t="shared" si="29"/>
        <v>27.166778800000031</v>
      </c>
      <c r="Y274">
        <f t="shared" si="30"/>
        <v>68</v>
      </c>
    </row>
    <row r="275" spans="1:25" x14ac:dyDescent="0.25">
      <c r="A275">
        <v>0</v>
      </c>
      <c r="B275">
        <v>1.0785600000000001E-4</v>
      </c>
      <c r="C275">
        <v>1.0242300000000001E-4</v>
      </c>
      <c r="D275">
        <v>1.0785600000000001E-4</v>
      </c>
      <c r="E275" s="1">
        <v>7.9699999999999999E-5</v>
      </c>
      <c r="F275">
        <v>-0.20794954299999999</v>
      </c>
      <c r="G275">
        <v>9.0942599999999996E-4</v>
      </c>
      <c r="H275">
        <v>300.81581119999998</v>
      </c>
      <c r="I275">
        <v>300.67892710000001</v>
      </c>
      <c r="J275">
        <v>300.49253110000001</v>
      </c>
      <c r="K275">
        <v>300.98466079999997</v>
      </c>
      <c r="L275">
        <v>300.43920170000001</v>
      </c>
      <c r="M275">
        <v>301.93586349999998</v>
      </c>
      <c r="N275">
        <v>0.67560883599999999</v>
      </c>
      <c r="O275" s="1">
        <v>-5.6799999999999999E-8</v>
      </c>
      <c r="Q275">
        <v>299.14999999999998</v>
      </c>
      <c r="R275">
        <v>30</v>
      </c>
      <c r="S275">
        <f t="shared" si="25"/>
        <v>27.665811200000007</v>
      </c>
      <c r="T275">
        <f t="shared" si="26"/>
        <v>27.528927100000033</v>
      </c>
      <c r="U275">
        <f t="shared" si="27"/>
        <v>27.342531100000031</v>
      </c>
      <c r="V275">
        <f t="shared" si="28"/>
        <v>27.834660799999995</v>
      </c>
      <c r="W275">
        <f t="shared" si="29"/>
        <v>27.289201700000035</v>
      </c>
      <c r="Y275">
        <f t="shared" si="30"/>
        <v>68.25</v>
      </c>
    </row>
    <row r="276" spans="1:25" x14ac:dyDescent="0.25">
      <c r="A276">
        <v>0</v>
      </c>
      <c r="B276">
        <v>1.0134E-4</v>
      </c>
      <c r="C276" s="1">
        <v>9.6199999999999994E-5</v>
      </c>
      <c r="D276">
        <v>1.0134E-4</v>
      </c>
      <c r="E276" s="1">
        <v>7.4800000000000002E-5</v>
      </c>
      <c r="F276">
        <v>-0.21410864700000001</v>
      </c>
      <c r="G276">
        <v>8.5448000000000002E-4</v>
      </c>
      <c r="H276">
        <v>300.81502369999998</v>
      </c>
      <c r="I276">
        <v>300.69792610000002</v>
      </c>
      <c r="J276">
        <v>300.51630920000002</v>
      </c>
      <c r="K276">
        <v>300.99202300000002</v>
      </c>
      <c r="L276">
        <v>300.47922010000002</v>
      </c>
      <c r="M276">
        <v>300.8848026</v>
      </c>
      <c r="N276">
        <v>0.71245689700000003</v>
      </c>
      <c r="O276" s="1">
        <v>-5.02E-8</v>
      </c>
      <c r="Q276">
        <v>299.14999999999998</v>
      </c>
      <c r="R276">
        <v>30</v>
      </c>
      <c r="S276">
        <f t="shared" si="25"/>
        <v>27.665023700000006</v>
      </c>
      <c r="T276">
        <f t="shared" si="26"/>
        <v>27.547926100000041</v>
      </c>
      <c r="U276">
        <f t="shared" si="27"/>
        <v>27.366309200000046</v>
      </c>
      <c r="V276">
        <f t="shared" si="28"/>
        <v>27.84202300000004</v>
      </c>
      <c r="W276">
        <f t="shared" si="29"/>
        <v>27.329220100000043</v>
      </c>
      <c r="Y276">
        <f t="shared" si="30"/>
        <v>68.5</v>
      </c>
    </row>
    <row r="277" spans="1:25" x14ac:dyDescent="0.25">
      <c r="A277">
        <v>0</v>
      </c>
      <c r="B277" s="1">
        <v>9.9699999999999998E-5</v>
      </c>
      <c r="C277" s="1">
        <v>9.4699999999999998E-5</v>
      </c>
      <c r="D277" s="1">
        <v>9.9699999999999998E-5</v>
      </c>
      <c r="E277" s="1">
        <v>7.3700000000000002E-5</v>
      </c>
      <c r="F277">
        <v>-0.220654884</v>
      </c>
      <c r="G277">
        <v>8.4086000000000002E-4</v>
      </c>
      <c r="H277">
        <v>300.79770760000002</v>
      </c>
      <c r="I277">
        <v>300.69472239999999</v>
      </c>
      <c r="J277">
        <v>300.5136521</v>
      </c>
      <c r="K277">
        <v>300.97205530000002</v>
      </c>
      <c r="L277">
        <v>300.5011404</v>
      </c>
      <c r="M277">
        <v>299.8413405</v>
      </c>
      <c r="N277">
        <v>0.75307650900000001</v>
      </c>
      <c r="O277" s="1">
        <v>-4.8599999999999998E-8</v>
      </c>
      <c r="Q277">
        <v>299.14999999999998</v>
      </c>
      <c r="R277">
        <v>30</v>
      </c>
      <c r="S277">
        <f t="shared" si="25"/>
        <v>27.647707600000047</v>
      </c>
      <c r="T277">
        <f t="shared" si="26"/>
        <v>27.544722400000012</v>
      </c>
      <c r="U277">
        <f t="shared" si="27"/>
        <v>27.363652100000024</v>
      </c>
      <c r="V277">
        <f t="shared" si="28"/>
        <v>27.822055300000045</v>
      </c>
      <c r="W277">
        <f t="shared" si="29"/>
        <v>27.35114040000002</v>
      </c>
      <c r="Y277">
        <f t="shared" si="30"/>
        <v>68.75</v>
      </c>
    </row>
    <row r="278" spans="1:25" x14ac:dyDescent="0.25">
      <c r="A278">
        <v>0</v>
      </c>
      <c r="B278" s="1">
        <v>1E-4</v>
      </c>
      <c r="C278" s="1">
        <v>9.4900000000000003E-5</v>
      </c>
      <c r="D278" s="1">
        <v>1E-4</v>
      </c>
      <c r="E278" s="1">
        <v>7.3800000000000005E-5</v>
      </c>
      <c r="F278">
        <v>-0.22659974999999999</v>
      </c>
      <c r="G278">
        <v>8.4287200000000004E-4</v>
      </c>
      <c r="H278">
        <v>300.78592320000001</v>
      </c>
      <c r="I278">
        <v>300.68876540000002</v>
      </c>
      <c r="J278">
        <v>300.50754410000002</v>
      </c>
      <c r="K278">
        <v>300.95382039999998</v>
      </c>
      <c r="L278">
        <v>300.51010680000002</v>
      </c>
      <c r="M278">
        <v>299.25</v>
      </c>
      <c r="N278">
        <v>0.79</v>
      </c>
      <c r="O278" s="1">
        <v>-4.88E-8</v>
      </c>
      <c r="Q278">
        <v>299.14999999999998</v>
      </c>
      <c r="R278">
        <v>30</v>
      </c>
      <c r="S278">
        <f t="shared" si="25"/>
        <v>27.635923200000036</v>
      </c>
      <c r="T278">
        <f t="shared" si="26"/>
        <v>27.538765400000045</v>
      </c>
      <c r="U278">
        <f t="shared" si="27"/>
        <v>27.357544100000041</v>
      </c>
      <c r="V278">
        <f t="shared" si="28"/>
        <v>27.803820400000006</v>
      </c>
      <c r="W278">
        <f t="shared" si="29"/>
        <v>27.36010680000004</v>
      </c>
      <c r="Y278">
        <f t="shared" si="30"/>
        <v>69</v>
      </c>
    </row>
    <row r="279" spans="1:25" x14ac:dyDescent="0.25">
      <c r="A279">
        <v>0</v>
      </c>
      <c r="B279" s="1">
        <v>9.9300000000000001E-5</v>
      </c>
      <c r="C279" s="1">
        <v>9.4300000000000002E-5</v>
      </c>
      <c r="D279" s="1">
        <v>9.9300000000000001E-5</v>
      </c>
      <c r="E279" s="1">
        <v>7.3300000000000006E-5</v>
      </c>
      <c r="F279">
        <v>-0.23279144500000001</v>
      </c>
      <c r="G279">
        <v>8.3703100000000002E-4</v>
      </c>
      <c r="H279">
        <v>300.77473029999999</v>
      </c>
      <c r="I279">
        <v>300.68263059999998</v>
      </c>
      <c r="J279">
        <v>300.50151959999999</v>
      </c>
      <c r="K279">
        <v>300.9419019</v>
      </c>
      <c r="L279">
        <v>300.50836679999998</v>
      </c>
      <c r="M279">
        <v>299.0533044</v>
      </c>
      <c r="N279">
        <v>0.82848599099999998</v>
      </c>
      <c r="O279" s="1">
        <v>-4.8200000000000001E-8</v>
      </c>
      <c r="Q279">
        <v>299.14999999999998</v>
      </c>
      <c r="R279">
        <v>30</v>
      </c>
      <c r="S279">
        <f t="shared" si="25"/>
        <v>27.62473030000001</v>
      </c>
      <c r="T279">
        <f t="shared" si="26"/>
        <v>27.532630600000005</v>
      </c>
      <c r="U279">
        <f t="shared" si="27"/>
        <v>27.351519600000017</v>
      </c>
      <c r="V279">
        <f t="shared" si="28"/>
        <v>27.791901900000028</v>
      </c>
      <c r="W279">
        <f t="shared" si="29"/>
        <v>27.358366799999999</v>
      </c>
      <c r="Y279">
        <f t="shared" si="30"/>
        <v>69.25</v>
      </c>
    </row>
    <row r="280" spans="1:25" x14ac:dyDescent="0.25">
      <c r="A280">
        <v>0</v>
      </c>
      <c r="B280">
        <v>1.0084199999999999E-4</v>
      </c>
      <c r="C280" s="1">
        <v>9.5799999999999998E-5</v>
      </c>
      <c r="D280">
        <v>1.0084199999999999E-4</v>
      </c>
      <c r="E280" s="1">
        <v>7.4499999999999995E-5</v>
      </c>
      <c r="F280">
        <v>-0.23859724500000001</v>
      </c>
      <c r="G280">
        <v>8.5028299999999996E-4</v>
      </c>
      <c r="H280">
        <v>300.76051430000001</v>
      </c>
      <c r="I280">
        <v>300.67676849999998</v>
      </c>
      <c r="J280">
        <v>300.49674199999998</v>
      </c>
      <c r="K280">
        <v>300.93736159999997</v>
      </c>
      <c r="L280">
        <v>300.50623919999998</v>
      </c>
      <c r="M280">
        <v>298.90091710000002</v>
      </c>
      <c r="N280">
        <v>0.87004310299999998</v>
      </c>
      <c r="O280" s="1">
        <v>-4.9700000000000002E-8</v>
      </c>
      <c r="Q280">
        <v>299.14999999999998</v>
      </c>
      <c r="R280">
        <v>30</v>
      </c>
      <c r="S280">
        <f t="shared" si="25"/>
        <v>27.610514300000034</v>
      </c>
      <c r="T280">
        <f t="shared" si="26"/>
        <v>27.526768500000003</v>
      </c>
      <c r="U280">
        <f t="shared" si="27"/>
        <v>27.346742000000006</v>
      </c>
      <c r="V280">
        <f t="shared" si="28"/>
        <v>27.787361599999997</v>
      </c>
      <c r="W280">
        <f t="shared" si="29"/>
        <v>27.356239200000005</v>
      </c>
      <c r="Y280">
        <f t="shared" si="30"/>
        <v>69.5</v>
      </c>
    </row>
    <row r="281" spans="1:25" x14ac:dyDescent="0.25">
      <c r="A281">
        <v>0</v>
      </c>
      <c r="B281">
        <v>1.0592800000000001E-4</v>
      </c>
      <c r="C281">
        <v>1.00592E-4</v>
      </c>
      <c r="D281">
        <v>1.0592800000000001E-4</v>
      </c>
      <c r="E281" s="1">
        <v>7.8200000000000003E-5</v>
      </c>
      <c r="F281">
        <v>-0.242964713</v>
      </c>
      <c r="G281">
        <v>8.9316500000000002E-4</v>
      </c>
      <c r="H281">
        <v>300.745947</v>
      </c>
      <c r="I281">
        <v>300.66994949999997</v>
      </c>
      <c r="J281">
        <v>300.49161809999998</v>
      </c>
      <c r="K281">
        <v>300.9349302</v>
      </c>
      <c r="L281">
        <v>300.50268560000001</v>
      </c>
      <c r="M281">
        <v>298.79807119999998</v>
      </c>
      <c r="N281">
        <v>0.90157866399999997</v>
      </c>
      <c r="O281" s="1">
        <v>-5.4800000000000001E-8</v>
      </c>
      <c r="Q281">
        <v>299.14999999999998</v>
      </c>
      <c r="R281">
        <v>30</v>
      </c>
      <c r="S281">
        <f t="shared" si="25"/>
        <v>27.595947000000024</v>
      </c>
      <c r="T281">
        <f t="shared" si="26"/>
        <v>27.519949499999996</v>
      </c>
      <c r="U281">
        <f t="shared" si="27"/>
        <v>27.341618100000005</v>
      </c>
      <c r="V281">
        <f t="shared" si="28"/>
        <v>27.784930200000019</v>
      </c>
      <c r="W281">
        <f t="shared" si="29"/>
        <v>27.352685600000029</v>
      </c>
      <c r="Y281">
        <f t="shared" si="30"/>
        <v>69.75</v>
      </c>
    </row>
    <row r="282" spans="1:25" x14ac:dyDescent="0.25">
      <c r="A282">
        <v>0</v>
      </c>
      <c r="B282">
        <v>1.09536E-4</v>
      </c>
      <c r="C282">
        <v>1.0401800000000001E-4</v>
      </c>
      <c r="D282">
        <v>1.09536E-4</v>
      </c>
      <c r="E282" s="1">
        <v>8.0900000000000001E-5</v>
      </c>
      <c r="F282">
        <v>-0.24411191600000001</v>
      </c>
      <c r="G282">
        <v>9.2358399999999997E-4</v>
      </c>
      <c r="H282">
        <v>300.73232560000002</v>
      </c>
      <c r="I282">
        <v>300.6620929</v>
      </c>
      <c r="J282">
        <v>300.48592500000001</v>
      </c>
      <c r="K282">
        <v>300.92201069999999</v>
      </c>
      <c r="L282">
        <v>300.49483279999998</v>
      </c>
      <c r="M282">
        <v>298.75</v>
      </c>
      <c r="N282">
        <v>0.91</v>
      </c>
      <c r="O282" s="1">
        <v>-5.8600000000000002E-8</v>
      </c>
      <c r="Q282">
        <v>299.14999999999998</v>
      </c>
      <c r="R282">
        <v>30</v>
      </c>
      <c r="S282">
        <f t="shared" si="25"/>
        <v>27.582325600000047</v>
      </c>
      <c r="T282">
        <f t="shared" si="26"/>
        <v>27.512092900000027</v>
      </c>
      <c r="U282">
        <f t="shared" si="27"/>
        <v>27.335925000000032</v>
      </c>
      <c r="V282">
        <f t="shared" si="28"/>
        <v>27.77201070000001</v>
      </c>
      <c r="W282">
        <f t="shared" si="29"/>
        <v>27.344832800000006</v>
      </c>
      <c r="Y282">
        <f t="shared" si="30"/>
        <v>70</v>
      </c>
    </row>
    <row r="283" spans="1:25" x14ac:dyDescent="0.25">
      <c r="A283">
        <v>0</v>
      </c>
      <c r="B283">
        <v>1.11345E-4</v>
      </c>
      <c r="C283">
        <v>1.0573600000000001E-4</v>
      </c>
      <c r="D283">
        <v>1.11345E-4</v>
      </c>
      <c r="E283" s="1">
        <v>8.2200000000000006E-5</v>
      </c>
      <c r="F283">
        <v>-0.243051452</v>
      </c>
      <c r="G283">
        <v>9.3883900000000001E-4</v>
      </c>
      <c r="H283">
        <v>300.72037319999998</v>
      </c>
      <c r="I283">
        <v>300.65446400000002</v>
      </c>
      <c r="J283">
        <v>300.4805126</v>
      </c>
      <c r="K283">
        <v>300.9091732</v>
      </c>
      <c r="L283">
        <v>300.48674679999999</v>
      </c>
      <c r="M283">
        <v>298.72762779999999</v>
      </c>
      <c r="N283">
        <v>0.90249999999999997</v>
      </c>
      <c r="O283" s="1">
        <v>-6.06E-8</v>
      </c>
      <c r="Q283">
        <v>299.14999999999998</v>
      </c>
      <c r="R283">
        <v>30</v>
      </c>
      <c r="S283">
        <f t="shared" si="25"/>
        <v>27.570373200000006</v>
      </c>
      <c r="T283">
        <f t="shared" si="26"/>
        <v>27.504464000000041</v>
      </c>
      <c r="U283">
        <f t="shared" si="27"/>
        <v>27.33051260000002</v>
      </c>
      <c r="V283">
        <f t="shared" si="28"/>
        <v>27.759173200000021</v>
      </c>
      <c r="W283">
        <f t="shared" si="29"/>
        <v>27.336746800000014</v>
      </c>
      <c r="Y283">
        <f t="shared" si="30"/>
        <v>70.25</v>
      </c>
    </row>
    <row r="284" spans="1:25" x14ac:dyDescent="0.25">
      <c r="A284">
        <v>0</v>
      </c>
      <c r="B284">
        <v>1.1304299999999999E-4</v>
      </c>
      <c r="C284">
        <v>1.07348E-4</v>
      </c>
      <c r="D284">
        <v>1.1304299999999999E-4</v>
      </c>
      <c r="E284" s="1">
        <v>8.3499999999999997E-5</v>
      </c>
      <c r="F284">
        <v>-0.241991029</v>
      </c>
      <c r="G284">
        <v>9.5315199999999997E-4</v>
      </c>
      <c r="H284">
        <v>300.7083915</v>
      </c>
      <c r="I284">
        <v>300.64666570000003</v>
      </c>
      <c r="J284">
        <v>300.47493809999997</v>
      </c>
      <c r="K284">
        <v>300.89636999999999</v>
      </c>
      <c r="L284">
        <v>300.47848590000001</v>
      </c>
      <c r="M284">
        <v>298.70928029999999</v>
      </c>
      <c r="N284">
        <v>0.89500000000000002</v>
      </c>
      <c r="O284" s="1">
        <v>-6.2400000000000003E-8</v>
      </c>
      <c r="Q284">
        <v>299.14999999999998</v>
      </c>
      <c r="R284">
        <v>30</v>
      </c>
      <c r="S284">
        <f t="shared" si="25"/>
        <v>27.558391500000027</v>
      </c>
      <c r="T284">
        <f t="shared" si="26"/>
        <v>27.496665700000051</v>
      </c>
      <c r="U284">
        <f t="shared" si="27"/>
        <v>27.324938099999997</v>
      </c>
      <c r="V284">
        <f t="shared" si="28"/>
        <v>27.746370000000013</v>
      </c>
      <c r="W284">
        <f t="shared" si="29"/>
        <v>27.328485900000032</v>
      </c>
      <c r="Y284">
        <f t="shared" si="30"/>
        <v>70.5</v>
      </c>
    </row>
    <row r="285" spans="1:25" x14ac:dyDescent="0.25">
      <c r="A285">
        <v>0</v>
      </c>
      <c r="B285">
        <v>1.1458E-4</v>
      </c>
      <c r="C285">
        <v>1.0880800000000001E-4</v>
      </c>
      <c r="D285">
        <v>1.1458E-4</v>
      </c>
      <c r="E285" s="1">
        <v>8.4599999999999996E-5</v>
      </c>
      <c r="F285">
        <v>-0.240930696</v>
      </c>
      <c r="G285">
        <v>9.6611099999999997E-4</v>
      </c>
      <c r="H285">
        <v>300.69652280000003</v>
      </c>
      <c r="I285">
        <v>300.6387216</v>
      </c>
      <c r="J285">
        <v>300.46921689999999</v>
      </c>
      <c r="K285">
        <v>300.88362059999997</v>
      </c>
      <c r="L285">
        <v>300.46959099999998</v>
      </c>
      <c r="M285">
        <v>298.71129259999998</v>
      </c>
      <c r="N285">
        <v>0.88749999999999996</v>
      </c>
      <c r="O285" s="1">
        <v>-6.4099999999999998E-8</v>
      </c>
      <c r="Q285">
        <v>299.14999999999998</v>
      </c>
      <c r="R285">
        <v>30</v>
      </c>
      <c r="S285">
        <f t="shared" si="25"/>
        <v>27.546522800000048</v>
      </c>
      <c r="T285">
        <f t="shared" si="26"/>
        <v>27.488721600000019</v>
      </c>
      <c r="U285">
        <f t="shared" si="27"/>
        <v>27.319216900000015</v>
      </c>
      <c r="V285">
        <f t="shared" si="28"/>
        <v>27.733620599999995</v>
      </c>
      <c r="W285">
        <f t="shared" si="29"/>
        <v>27.319591000000003</v>
      </c>
      <c r="Y285">
        <f t="shared" si="30"/>
        <v>70.75</v>
      </c>
    </row>
    <row r="286" spans="1:25" x14ac:dyDescent="0.25">
      <c r="A286">
        <v>0</v>
      </c>
      <c r="B286">
        <v>1.15882E-4</v>
      </c>
      <c r="C286">
        <v>1.1004400000000001E-4</v>
      </c>
      <c r="D286">
        <v>1.15882E-4</v>
      </c>
      <c r="E286" s="1">
        <v>8.5599999999999994E-5</v>
      </c>
      <c r="F286">
        <v>-0.239871002</v>
      </c>
      <c r="G286">
        <v>9.7709100000000003E-4</v>
      </c>
      <c r="H286">
        <v>300.68554169999999</v>
      </c>
      <c r="I286">
        <v>300.63097690000001</v>
      </c>
      <c r="J286">
        <v>300.46372070000001</v>
      </c>
      <c r="K286">
        <v>300.87124260000002</v>
      </c>
      <c r="L286">
        <v>300.45995069999998</v>
      </c>
      <c r="M286">
        <v>298.75</v>
      </c>
      <c r="N286">
        <v>0.88</v>
      </c>
      <c r="O286" s="1">
        <v>-6.5600000000000005E-8</v>
      </c>
      <c r="Q286">
        <v>299.14999999999998</v>
      </c>
      <c r="R286">
        <v>30</v>
      </c>
      <c r="S286">
        <f t="shared" si="25"/>
        <v>27.53554170000001</v>
      </c>
      <c r="T286">
        <f t="shared" si="26"/>
        <v>27.48097690000003</v>
      </c>
      <c r="U286">
        <f t="shared" si="27"/>
        <v>27.313720700000033</v>
      </c>
      <c r="V286">
        <f t="shared" si="28"/>
        <v>27.721242600000039</v>
      </c>
      <c r="W286">
        <f t="shared" si="29"/>
        <v>27.309950700000002</v>
      </c>
      <c r="Y286">
        <f t="shared" si="30"/>
        <v>71</v>
      </c>
    </row>
    <row r="287" spans="1:25" x14ac:dyDescent="0.25">
      <c r="A287">
        <v>0</v>
      </c>
      <c r="B287">
        <v>1.1710299999999999E-4</v>
      </c>
      <c r="C287">
        <v>1.11204E-4</v>
      </c>
      <c r="D287">
        <v>1.1710299999999999E-4</v>
      </c>
      <c r="E287" s="1">
        <v>8.6500000000000002E-5</v>
      </c>
      <c r="F287">
        <v>-0.23871500700000001</v>
      </c>
      <c r="G287">
        <v>9.8738699999999994E-4</v>
      </c>
      <c r="H287">
        <v>300.67622840000001</v>
      </c>
      <c r="I287">
        <v>300.62385490000003</v>
      </c>
      <c r="J287">
        <v>300.45890869999999</v>
      </c>
      <c r="K287">
        <v>300.85962590000003</v>
      </c>
      <c r="L287">
        <v>300.44944290000001</v>
      </c>
      <c r="M287">
        <v>298.84339490000002</v>
      </c>
      <c r="N287">
        <v>0.87179687500000003</v>
      </c>
      <c r="O287" s="1">
        <v>-6.7000000000000004E-8</v>
      </c>
      <c r="Q287">
        <v>299.14999999999998</v>
      </c>
      <c r="R287">
        <v>30</v>
      </c>
      <c r="S287">
        <f t="shared" si="25"/>
        <v>27.526228400000036</v>
      </c>
      <c r="T287">
        <f t="shared" si="26"/>
        <v>27.473854900000049</v>
      </c>
      <c r="U287">
        <f t="shared" si="27"/>
        <v>27.308908700000018</v>
      </c>
      <c r="V287">
        <f t="shared" si="28"/>
        <v>27.709625900000049</v>
      </c>
      <c r="W287">
        <f t="shared" si="29"/>
        <v>27.299442900000031</v>
      </c>
      <c r="Y287">
        <f t="shared" si="30"/>
        <v>71.25</v>
      </c>
    </row>
    <row r="288" spans="1:25" x14ac:dyDescent="0.25">
      <c r="A288">
        <v>0</v>
      </c>
      <c r="B288">
        <v>1.18279E-4</v>
      </c>
      <c r="C288">
        <v>1.12321E-4</v>
      </c>
      <c r="D288">
        <v>1.18279E-4</v>
      </c>
      <c r="E288" s="1">
        <v>8.7399999999999997E-5</v>
      </c>
      <c r="F288">
        <v>-0.23749553100000001</v>
      </c>
      <c r="G288">
        <v>9.9730499999999998E-4</v>
      </c>
      <c r="H288">
        <v>300.6687445</v>
      </c>
      <c r="I288">
        <v>300.61757979999999</v>
      </c>
      <c r="J288">
        <v>300.4550539</v>
      </c>
      <c r="K288">
        <v>300.84896320000001</v>
      </c>
      <c r="L288">
        <v>300.43864159999998</v>
      </c>
      <c r="M288">
        <v>298.97821970000001</v>
      </c>
      <c r="N288">
        <v>0.86312500000000003</v>
      </c>
      <c r="O288" s="1">
        <v>-6.8400000000000004E-8</v>
      </c>
      <c r="Q288">
        <v>299.14999999999998</v>
      </c>
      <c r="R288">
        <v>30</v>
      </c>
      <c r="S288">
        <f t="shared" si="25"/>
        <v>27.518744500000025</v>
      </c>
      <c r="T288">
        <f t="shared" si="26"/>
        <v>27.46757980000001</v>
      </c>
      <c r="U288">
        <f t="shared" si="27"/>
        <v>27.305053900000019</v>
      </c>
      <c r="V288">
        <f t="shared" si="28"/>
        <v>27.698963200000037</v>
      </c>
      <c r="W288">
        <f t="shared" si="29"/>
        <v>27.288641600000005</v>
      </c>
      <c r="Y288">
        <f t="shared" si="30"/>
        <v>71.5</v>
      </c>
    </row>
    <row r="289" spans="1:25" x14ac:dyDescent="0.25">
      <c r="A289">
        <v>0</v>
      </c>
      <c r="B289">
        <v>1.18968E-4</v>
      </c>
      <c r="C289">
        <v>1.1297499999999999E-4</v>
      </c>
      <c r="D289">
        <v>1.18968E-4</v>
      </c>
      <c r="E289" s="1">
        <v>8.7899999999999995E-5</v>
      </c>
      <c r="F289">
        <v>-0.23640772199999999</v>
      </c>
      <c r="G289">
        <v>1.0031129999999999E-3</v>
      </c>
      <c r="H289">
        <v>300.66294329999999</v>
      </c>
      <c r="I289">
        <v>300.6121</v>
      </c>
      <c r="J289">
        <v>300.45206259999998</v>
      </c>
      <c r="K289">
        <v>300.83921789999999</v>
      </c>
      <c r="L289">
        <v>300.42843900000003</v>
      </c>
      <c r="M289">
        <v>299.12393470000001</v>
      </c>
      <c r="N289">
        <v>0.85539062499999996</v>
      </c>
      <c r="O289" s="1">
        <v>-6.9199999999999998E-8</v>
      </c>
      <c r="Q289">
        <v>299.14999999999998</v>
      </c>
      <c r="R289">
        <v>30</v>
      </c>
      <c r="S289">
        <f t="shared" si="25"/>
        <v>27.512943300000018</v>
      </c>
      <c r="T289">
        <f t="shared" si="26"/>
        <v>27.462100000000021</v>
      </c>
      <c r="U289">
        <f t="shared" si="27"/>
        <v>27.302062599999999</v>
      </c>
      <c r="V289">
        <f t="shared" si="28"/>
        <v>27.689217900000017</v>
      </c>
      <c r="W289">
        <f t="shared" si="29"/>
        <v>27.278439000000049</v>
      </c>
      <c r="Y289">
        <f t="shared" si="30"/>
        <v>71.75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 compensator</vt:lpstr>
      <vt:lpstr>with compensator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Guowen</dc:creator>
  <cp:lastModifiedBy>Li, Guowen</cp:lastModifiedBy>
  <dcterms:created xsi:type="dcterms:W3CDTF">2023-03-20T17:47:17Z</dcterms:created>
  <dcterms:modified xsi:type="dcterms:W3CDTF">2023-03-20T19:07:23Z</dcterms:modified>
</cp:coreProperties>
</file>